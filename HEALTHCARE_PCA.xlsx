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escofarolfi/Desktop/UNIVERSITA'/Algo Trading Personal/PCA_analysis/"/>
    </mc:Choice>
  </mc:AlternateContent>
  <xr:revisionPtr revIDLastSave="0" documentId="13_ncr:1_{A02F50A9-31FD-824D-A3E9-98F4CE404491}" xr6:coauthVersionLast="47" xr6:coauthVersionMax="47" xr10:uidLastSave="{00000000-0000-0000-0000-000000000000}"/>
  <bookViews>
    <workbookView xWindow="0" yWindow="0" windowWidth="28800" windowHeight="18000" activeTab="4" xr2:uid="{2314D910-E49F-BF4F-8D7E-A2A63F169BC1}"/>
  </bookViews>
  <sheets>
    <sheet name="Sheet1" sheetId="1" r:id="rId1"/>
    <sheet name="Sheet2" sheetId="2" r:id="rId2"/>
    <sheet name="Sheet3" sheetId="3" r:id="rId3"/>
    <sheet name="Sheet5" sheetId="5" r:id="rId4"/>
    <sheet name="pane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5" l="1"/>
  <c r="O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2" i="3"/>
</calcChain>
</file>

<file path=xl/sharedStrings.xml><?xml version="1.0" encoding="utf-8"?>
<sst xmlns="http://schemas.openxmlformats.org/spreadsheetml/2006/main" count="1419" uniqueCount="326">
  <si>
    <t xml:space="preserve">LLY </t>
  </si>
  <si>
    <t xml:space="preserve"> Eli Lilly and Company </t>
  </si>
  <si>
    <t xml:space="preserve"> Health Care</t>
  </si>
  <si>
    <t xml:space="preserve">JNJ </t>
  </si>
  <si>
    <t xml:space="preserve"> Johnson &amp; Johnson </t>
  </si>
  <si>
    <t xml:space="preserve">UNH </t>
  </si>
  <si>
    <t xml:space="preserve"> UnitedHealth Group Incorporated </t>
  </si>
  <si>
    <t xml:space="preserve">PFE </t>
  </si>
  <si>
    <t xml:space="preserve"> Pfizer Inc. </t>
  </si>
  <si>
    <t xml:space="preserve">MRK </t>
  </si>
  <si>
    <t xml:space="preserve"> Merck &amp; Co., Inc. </t>
  </si>
  <si>
    <t xml:space="preserve">ABBV </t>
  </si>
  <si>
    <t xml:space="preserve"> AbbVie Inc. </t>
  </si>
  <si>
    <t xml:space="preserve">TMO </t>
  </si>
  <si>
    <t xml:space="preserve"> Thermo Fisher Scientific Inc. </t>
  </si>
  <si>
    <t xml:space="preserve">ABT </t>
  </si>
  <si>
    <t xml:space="preserve"> Abbott Laboratories </t>
  </si>
  <si>
    <t xml:space="preserve">DHR </t>
  </si>
  <si>
    <t xml:space="preserve"> Danaher Corporation </t>
  </si>
  <si>
    <t xml:space="preserve">BMY </t>
  </si>
  <si>
    <t xml:space="preserve"> Bristol-Myers Squibb Company </t>
  </si>
  <si>
    <t xml:space="preserve">AMGN </t>
  </si>
  <si>
    <t xml:space="preserve"> Amgen Inc. </t>
  </si>
  <si>
    <t xml:space="preserve">GILD </t>
  </si>
  <si>
    <t xml:space="preserve"> Gilead Sciences, Inc. </t>
  </si>
  <si>
    <t xml:space="preserve">ISRG </t>
  </si>
  <si>
    <t xml:space="preserve"> Intuitive Surgical, Inc. </t>
  </si>
  <si>
    <t xml:space="preserve">VRTX </t>
  </si>
  <si>
    <t xml:space="preserve"> Vertex Pharmaceuticals Incorporated </t>
  </si>
  <si>
    <t xml:space="preserve">REGN </t>
  </si>
  <si>
    <t xml:space="preserve"> Regeneron Pharmaceuticals, Inc. </t>
  </si>
  <si>
    <t xml:space="preserve">ZTS </t>
  </si>
  <si>
    <t xml:space="preserve"> Zoetis Inc. </t>
  </si>
  <si>
    <t xml:space="preserve">MDT </t>
  </si>
  <si>
    <t xml:space="preserve"> Medtronic plc </t>
  </si>
  <si>
    <t xml:space="preserve">SYK </t>
  </si>
  <si>
    <t xml:space="preserve"> Stryker Corporation </t>
  </si>
  <si>
    <t xml:space="preserve">BSX </t>
  </si>
  <si>
    <t xml:space="preserve"> Boston Scientific Corporation </t>
  </si>
  <si>
    <t xml:space="preserve">BDX </t>
  </si>
  <si>
    <t xml:space="preserve"> Becton, Dickinson and Company </t>
  </si>
  <si>
    <t xml:space="preserve">EW </t>
  </si>
  <si>
    <t xml:space="preserve"> Edwards Lifesciences Corporation </t>
  </si>
  <si>
    <t xml:space="preserve">CI </t>
  </si>
  <si>
    <t xml:space="preserve"> The Cigna Group </t>
  </si>
  <si>
    <t xml:space="preserve">ELV </t>
  </si>
  <si>
    <t xml:space="preserve"> Elevance Health, Inc. </t>
  </si>
  <si>
    <t xml:space="preserve">HUM </t>
  </si>
  <si>
    <t xml:space="preserve"> Humana Inc. </t>
  </si>
  <si>
    <t xml:space="preserve">CNC </t>
  </si>
  <si>
    <t xml:space="preserve"> Centene Corporation </t>
  </si>
  <si>
    <t xml:space="preserve">CVS </t>
  </si>
  <si>
    <t xml:space="preserve"> CVS Health Corporation </t>
  </si>
  <si>
    <t xml:space="preserve">MCK </t>
  </si>
  <si>
    <t xml:space="preserve"> McKesson Corporation </t>
  </si>
  <si>
    <t xml:space="preserve">COR </t>
  </si>
  <si>
    <t xml:space="preserve"> Cencora, Inc. </t>
  </si>
  <si>
    <t xml:space="preserve">CAH </t>
  </si>
  <si>
    <t xml:space="preserve"> Cardinal Health, Inc. </t>
  </si>
  <si>
    <t xml:space="preserve">HCA </t>
  </si>
  <si>
    <t xml:space="preserve"> HCA Healthcare, Inc. </t>
  </si>
  <si>
    <t xml:space="preserve">UHS </t>
  </si>
  <si>
    <t xml:space="preserve"> Universal Health Services, Inc. </t>
  </si>
  <si>
    <t xml:space="preserve">DGX </t>
  </si>
  <si>
    <t xml:space="preserve"> Quest Diagnostics Incorporated </t>
  </si>
  <si>
    <t xml:space="preserve">LH </t>
  </si>
  <si>
    <t xml:space="preserve"> Labcorp Holdings Inc. </t>
  </si>
  <si>
    <t xml:space="preserve">IQV </t>
  </si>
  <si>
    <t xml:space="preserve"> IQVIA Holdings Inc. </t>
  </si>
  <si>
    <t xml:space="preserve">A </t>
  </si>
  <si>
    <t xml:space="preserve"> Agilent Technologies, Inc. </t>
  </si>
  <si>
    <t xml:space="preserve">WST </t>
  </si>
  <si>
    <t xml:space="preserve"> West Pharmaceutical Services, Inc. </t>
  </si>
  <si>
    <t xml:space="preserve">STE </t>
  </si>
  <si>
    <t xml:space="preserve"> STERIS plc </t>
  </si>
  <si>
    <t xml:space="preserve">COO </t>
  </si>
  <si>
    <t xml:space="preserve"> The Cooper Companies, Inc. </t>
  </si>
  <si>
    <t xml:space="preserve">HOLX </t>
  </si>
  <si>
    <t xml:space="preserve"> Hologic, Inc. </t>
  </si>
  <si>
    <t xml:space="preserve">ZBH </t>
  </si>
  <si>
    <t xml:space="preserve"> Zimmer Biomet Holdings, Inc. </t>
  </si>
  <si>
    <t xml:space="preserve">BAX </t>
  </si>
  <si>
    <t xml:space="preserve"> Baxter International Inc. </t>
  </si>
  <si>
    <t xml:space="preserve">DXCM </t>
  </si>
  <si>
    <t xml:space="preserve"> DexCom, Inc. </t>
  </si>
  <si>
    <t xml:space="preserve">GEHC </t>
  </si>
  <si>
    <t xml:space="preserve"> GE HealthCare Technologies Inc. </t>
  </si>
  <si>
    <t xml:space="preserve">PODD </t>
  </si>
  <si>
    <t xml:space="preserve"> Insulet Corporation </t>
  </si>
  <si>
    <t xml:space="preserve">RVTY </t>
  </si>
  <si>
    <t xml:space="preserve"> Revvity, Inc. </t>
  </si>
  <si>
    <t xml:space="preserve">DOC </t>
  </si>
  <si>
    <t xml:space="preserve"> Healthpeak Properties, Inc. </t>
  </si>
  <si>
    <t xml:space="preserve">VTR </t>
  </si>
  <si>
    <t xml:space="preserve"> Ventas, Inc. </t>
  </si>
  <si>
    <t xml:space="preserve">WELL </t>
  </si>
  <si>
    <t xml:space="preserve"> Welltower Inc. </t>
  </si>
  <si>
    <t xml:space="preserve">ARE </t>
  </si>
  <si>
    <t xml:space="preserve"> Alexandria Real Estate Equities, Inc. </t>
  </si>
  <si>
    <t>TICKER</t>
  </si>
  <si>
    <t>NAME</t>
  </si>
  <si>
    <t>SECTOR</t>
  </si>
  <si>
    <t>EBITDA MARGIN</t>
  </si>
  <si>
    <t>ROA</t>
  </si>
  <si>
    <t>ROA%</t>
  </si>
  <si>
    <t>ROE%</t>
  </si>
  <si>
    <t>ROI%</t>
  </si>
  <si>
    <t>OPERATIVE MARGIN</t>
  </si>
  <si>
    <t>QUICK RATIO</t>
  </si>
  <si>
    <t>CURRENT RATIO</t>
  </si>
  <si>
    <t>DATI VECCHI</t>
  </si>
  <si>
    <t>DATI MANCANTI</t>
  </si>
  <si>
    <t>VECCHI</t>
  </si>
  <si>
    <t>MANCANTI</t>
  </si>
  <si>
    <t>Ticker</t>
  </si>
  <si>
    <t>Company</t>
  </si>
  <si>
    <t>Sector</t>
  </si>
  <si>
    <t>Country</t>
  </si>
  <si>
    <t>Enterprise Value</t>
  </si>
  <si>
    <t>EV/EBITDA</t>
  </si>
  <si>
    <t>ROIC</t>
  </si>
  <si>
    <t>Curr R</t>
  </si>
  <si>
    <t>Quick R</t>
  </si>
  <si>
    <t>DXCM</t>
  </si>
  <si>
    <t>Dexcom Inc</t>
  </si>
  <si>
    <t>Healthcare</t>
  </si>
  <si>
    <t>USA</t>
  </si>
  <si>
    <t>EW</t>
  </si>
  <si>
    <t>Edwards Lifesciences Corp</t>
  </si>
  <si>
    <t>GEHC</t>
  </si>
  <si>
    <t>GE HealthCare Technologies Inc</t>
  </si>
  <si>
    <t>GILD</t>
  </si>
  <si>
    <t>Gilead Sciences Inc</t>
  </si>
  <si>
    <t>HCA</t>
  </si>
  <si>
    <t>HCA Healthcare Inc</t>
  </si>
  <si>
    <t>HSIC</t>
  </si>
  <si>
    <t>Henry Schein Inc</t>
  </si>
  <si>
    <t>IDXX</t>
  </si>
  <si>
    <t>Idexx Laboratories Inc</t>
  </si>
  <si>
    <t>INCY</t>
  </si>
  <si>
    <t>Incyte Corp</t>
  </si>
  <si>
    <t>IQV</t>
  </si>
  <si>
    <t>IQVIA Holdings Inc</t>
  </si>
  <si>
    <t>ISRG</t>
  </si>
  <si>
    <t>Intuitive Surgical Inc</t>
  </si>
  <si>
    <t>JNJ</t>
  </si>
  <si>
    <t>Johnson &amp; Johnson</t>
  </si>
  <si>
    <t>LH</t>
  </si>
  <si>
    <t>Labcorp Holdings Inc</t>
  </si>
  <si>
    <t>LLY</t>
  </si>
  <si>
    <t>MCK</t>
  </si>
  <si>
    <t>Mckesson Corp</t>
  </si>
  <si>
    <t>MDT</t>
  </si>
  <si>
    <t>Medtronic Plc</t>
  </si>
  <si>
    <t>Ireland</t>
  </si>
  <si>
    <t>MRK</t>
  </si>
  <si>
    <t>MTD</t>
  </si>
  <si>
    <t>Mettler-Toledo International Inc</t>
  </si>
  <si>
    <t>P/E</t>
  </si>
  <si>
    <t>Oper M</t>
  </si>
  <si>
    <t>Lilly(Eli) &amp; Co</t>
  </si>
  <si>
    <t>Merck &amp; Co Inc</t>
  </si>
  <si>
    <t>P/FCF</t>
  </si>
  <si>
    <t>DVA</t>
  </si>
  <si>
    <t>DaVita Inc</t>
  </si>
  <si>
    <t>CAH</t>
  </si>
  <si>
    <t>Cardinal Health Inc</t>
  </si>
  <si>
    <t>BMY</t>
  </si>
  <si>
    <t>Bristol-Myers Squibb Co</t>
  </si>
  <si>
    <t>UHS</t>
  </si>
  <si>
    <t>Universal Health Services Inc</t>
  </si>
  <si>
    <t>BIIB</t>
  </si>
  <si>
    <t>Biogen Inc</t>
  </si>
  <si>
    <t>CVS</t>
  </si>
  <si>
    <t>CVS Health Corp</t>
  </si>
  <si>
    <t>ZBH</t>
  </si>
  <si>
    <t>Zimmer Biomet Holdings Inc</t>
  </si>
  <si>
    <t>BDX</t>
  </si>
  <si>
    <t>Becton Dickinson &amp; Co</t>
  </si>
  <si>
    <t>DGX</t>
  </si>
  <si>
    <t>Quest Diagnostics Inc</t>
  </si>
  <si>
    <t>PFE</t>
  </si>
  <si>
    <t>Pfizer Inc</t>
  </si>
  <si>
    <t>COR</t>
  </si>
  <si>
    <t>Cencora Inc</t>
  </si>
  <si>
    <t>RMD</t>
  </si>
  <si>
    <t>Resmed Inc</t>
  </si>
  <si>
    <t>RVTY</t>
  </si>
  <si>
    <t>Revvity Inc</t>
  </si>
  <si>
    <t>REGN</t>
  </si>
  <si>
    <t>Regeneron Pharmaceuticals Inc</t>
  </si>
  <si>
    <t>ABBV</t>
  </si>
  <si>
    <t>Abbvie Inc</t>
  </si>
  <si>
    <t>ZTS</t>
  </si>
  <si>
    <t>Zoetis Inc</t>
  </si>
  <si>
    <t>ABT</t>
  </si>
  <si>
    <t>Abbott Laboratories</t>
  </si>
  <si>
    <t>AMGN</t>
  </si>
  <si>
    <t>STE</t>
  </si>
  <si>
    <t>Steris Plc</t>
  </si>
  <si>
    <t>BSX</t>
  </si>
  <si>
    <t>Boston Scientific Corp</t>
  </si>
  <si>
    <t>DHR</t>
  </si>
  <si>
    <t>Danaher Corp</t>
  </si>
  <si>
    <t>COO</t>
  </si>
  <si>
    <t>Cooper Companies Inc</t>
  </si>
  <si>
    <t>ALGN</t>
  </si>
  <si>
    <t>Align Technology Inc</t>
  </si>
  <si>
    <t>AMGEN Inc</t>
  </si>
  <si>
    <t>TMO</t>
  </si>
  <si>
    <t>Thermo Fisher Scientific Inc</t>
  </si>
  <si>
    <t>SYK</t>
  </si>
  <si>
    <t>Stryker Corp</t>
  </si>
  <si>
    <t>A</t>
  </si>
  <si>
    <t>Agilent Technologies Inc</t>
  </si>
  <si>
    <t>PODD</t>
  </si>
  <si>
    <t>Insulet Corp</t>
  </si>
  <si>
    <t>VRTX</t>
  </si>
  <si>
    <t>Vertex Pharmaceuticals Inc</t>
  </si>
  <si>
    <t>TECH</t>
  </si>
  <si>
    <t>Bio-Techne Corp</t>
  </si>
  <si>
    <t>WST</t>
  </si>
  <si>
    <t>West Pharmaceutical Services Inc</t>
  </si>
  <si>
    <t>WAT</t>
  </si>
  <si>
    <t>Waters Corp</t>
  </si>
  <si>
    <t>(P/FCF)^-1</t>
  </si>
  <si>
    <t>(P/E)^-1</t>
  </si>
  <si>
    <t>(EV/ebitda)^-1</t>
  </si>
  <si>
    <t>oper M</t>
  </si>
  <si>
    <t>CNC</t>
  </si>
  <si>
    <t>Centene Corp</t>
  </si>
  <si>
    <t>25.84B</t>
  </si>
  <si>
    <t>Cigna Group</t>
  </si>
  <si>
    <t>cvs</t>
  </si>
  <si>
    <t>CVS Health corp</t>
  </si>
  <si>
    <t>174.07B</t>
  </si>
  <si>
    <t>VTRS</t>
  </si>
  <si>
    <t>Viatris Inc</t>
  </si>
  <si>
    <t>33.31B</t>
  </si>
  <si>
    <t>15.72B</t>
  </si>
  <si>
    <t>40.66B</t>
  </si>
  <si>
    <t>21.62B</t>
  </si>
  <si>
    <t>ELV</t>
  </si>
  <si>
    <t>Elevance Health Inc</t>
  </si>
  <si>
    <t>67.02B</t>
  </si>
  <si>
    <t>UNH</t>
  </si>
  <si>
    <t>Baxter International Inc</t>
  </si>
  <si>
    <t>18.86B</t>
  </si>
  <si>
    <t>coo</t>
  </si>
  <si>
    <t>13.08B</t>
  </si>
  <si>
    <t>ROE</t>
  </si>
  <si>
    <t>Gross M</t>
  </si>
  <si>
    <t>56.23B</t>
  </si>
  <si>
    <t>164.11B</t>
  </si>
  <si>
    <t>36.98B</t>
  </si>
  <si>
    <t>24.61B</t>
  </si>
  <si>
    <t>210.83B</t>
  </si>
  <si>
    <t>216.12B</t>
  </si>
  <si>
    <t>108.94B</t>
  </si>
  <si>
    <t>147.38B</t>
  </si>
  <si>
    <t>UI-IS</t>
  </si>
  <si>
    <t>BAX</t>
  </si>
  <si>
    <t>9.32B</t>
  </si>
  <si>
    <t>14.81B</t>
  </si>
  <si>
    <t>29.11B</t>
  </si>
  <si>
    <t>76.33B</t>
  </si>
  <si>
    <t>133.94B</t>
  </si>
  <si>
    <t>38.77B</t>
  </si>
  <si>
    <t>31.30B</t>
  </si>
  <si>
    <t>66.02B</t>
  </si>
  <si>
    <t>58.94B</t>
  </si>
  <si>
    <t>30.29B</t>
  </si>
  <si>
    <t>71.79B</t>
  </si>
  <si>
    <t>267.76B</t>
  </si>
  <si>
    <t>202.94B</t>
  </si>
  <si>
    <t>22.34B</t>
  </si>
  <si>
    <t>117.52B</t>
  </si>
  <si>
    <t>412.66B</t>
  </si>
  <si>
    <t>32.06B</t>
  </si>
  <si>
    <t>HUM</t>
  </si>
  <si>
    <t>Humana Inc</t>
  </si>
  <si>
    <t>536.83B</t>
  </si>
  <si>
    <t>VEEV</t>
  </si>
  <si>
    <t>Veeva Systems Inc</t>
  </si>
  <si>
    <t>38.24B</t>
  </si>
  <si>
    <t>182.44B</t>
  </si>
  <si>
    <t>682.55B</t>
  </si>
  <si>
    <t>19.28B</t>
  </si>
  <si>
    <t>9.65B</t>
  </si>
  <si>
    <t>42.57B</t>
  </si>
  <si>
    <t>289.66B</t>
  </si>
  <si>
    <t>46.61B</t>
  </si>
  <si>
    <t>126.98B</t>
  </si>
  <si>
    <t>33.12B</t>
  </si>
  <si>
    <t>CRL</t>
  </si>
  <si>
    <t>Charles River Laboratories International Inc</t>
  </si>
  <si>
    <t>17.00B</t>
  </si>
  <si>
    <t>51.81B</t>
  </si>
  <si>
    <t>11.36B</t>
  </si>
  <si>
    <t>ILMN</t>
  </si>
  <si>
    <t>Illumina Inc</t>
  </si>
  <si>
    <t>42.64B</t>
  </si>
  <si>
    <t>140.70B</t>
  </si>
  <si>
    <t>26.32B</t>
  </si>
  <si>
    <t>Lilly(Eli) &amp; co</t>
  </si>
  <si>
    <t>1162.13B</t>
  </si>
  <si>
    <t>48.23B</t>
  </si>
  <si>
    <t>MRNA</t>
  </si>
  <si>
    <t>Moderna Inc</t>
  </si>
  <si>
    <t>74.14B</t>
  </si>
  <si>
    <t>SOLV</t>
  </si>
  <si>
    <t>Solventum Corp</t>
  </si>
  <si>
    <t>20.12B</t>
  </si>
  <si>
    <t>Quick r</t>
  </si>
  <si>
    <t>CI</t>
  </si>
  <si>
    <t>UnitedHealth Group Inc</t>
  </si>
  <si>
    <t>MRI</t>
  </si>
  <si>
    <t>Year</t>
  </si>
  <si>
    <t>name</t>
  </si>
  <si>
    <t>ROI</t>
  </si>
  <si>
    <t>tutti i valori sono quelli dell'anno precedente</t>
  </si>
  <si>
    <t>Centene corp</t>
  </si>
  <si>
    <t>Da Vita Inc</t>
  </si>
  <si>
    <t>3, 19</t>
  </si>
  <si>
    <t>46, 12</t>
  </si>
  <si>
    <t>28, 12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</si>
</sst>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1F1F1F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  <xf numFmtId="2" fontId="4" fillId="0" borderId="0" xfId="1" applyNumberFormat="1" applyFont="1"/>
    <xf numFmtId="0" fontId="6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E68E-0EBF-6D4C-8BA2-3803B53679AF}">
  <dimension ref="A1:K50"/>
  <sheetViews>
    <sheetView workbookViewId="0">
      <selection activeCell="M18" sqref="M18"/>
    </sheetView>
  </sheetViews>
  <sheetFormatPr baseColWidth="10" defaultRowHeight="16" x14ac:dyDescent="0.2"/>
  <cols>
    <col min="1" max="1" width="7" bestFit="1" customWidth="1"/>
    <col min="2" max="2" width="32.5" bestFit="1" customWidth="1"/>
    <col min="3" max="3" width="11.33203125" bestFit="1" customWidth="1"/>
    <col min="4" max="4" width="14.1640625" bestFit="1" customWidth="1"/>
    <col min="5" max="5" width="6.1640625" bestFit="1" customWidth="1"/>
    <col min="6" max="6" width="7.1640625" bestFit="1" customWidth="1"/>
    <col min="7" max="7" width="6.83203125" customWidth="1"/>
    <col min="8" max="8" width="17.33203125" bestFit="1" customWidth="1"/>
    <col min="9" max="9" width="11.6640625" bestFit="1" customWidth="1"/>
    <col min="10" max="10" width="14.33203125" bestFit="1" customWidth="1"/>
  </cols>
  <sheetData>
    <row r="1" spans="1:11" x14ac:dyDescent="0.2">
      <c r="A1" t="s">
        <v>99</v>
      </c>
      <c r="B1" t="s">
        <v>100</v>
      </c>
      <c r="C1" t="s">
        <v>101</v>
      </c>
      <c r="D1" t="s">
        <v>102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</row>
    <row r="2" spans="1:11" x14ac:dyDescent="0.2">
      <c r="A2" s="1" t="s">
        <v>69</v>
      </c>
      <c r="B2" s="1" t="s">
        <v>70</v>
      </c>
      <c r="C2" s="1" t="s">
        <v>2</v>
      </c>
      <c r="D2">
        <v>24.58</v>
      </c>
      <c r="E2">
        <v>10.43</v>
      </c>
      <c r="F2">
        <v>19.95</v>
      </c>
      <c r="G2">
        <v>13.35</v>
      </c>
      <c r="H2">
        <v>20.86</v>
      </c>
      <c r="I2">
        <v>1.59</v>
      </c>
      <c r="J2">
        <v>2.0699999999999998</v>
      </c>
    </row>
    <row r="3" spans="1:11" x14ac:dyDescent="0.2">
      <c r="A3" s="1" t="s">
        <v>11</v>
      </c>
      <c r="B3" s="1" t="s">
        <v>12</v>
      </c>
      <c r="C3" s="1" t="s">
        <v>2</v>
      </c>
      <c r="D3">
        <v>46.18</v>
      </c>
      <c r="E3">
        <v>3.11</v>
      </c>
      <c r="F3">
        <v>6200</v>
      </c>
      <c r="G3">
        <v>6.93</v>
      </c>
      <c r="H3">
        <v>34.229999999999997</v>
      </c>
      <c r="I3">
        <v>0.56000000000000005</v>
      </c>
      <c r="J3">
        <v>0.67</v>
      </c>
    </row>
    <row r="4" spans="1:11" x14ac:dyDescent="0.2">
      <c r="A4" s="1" t="s">
        <v>15</v>
      </c>
      <c r="B4" s="1" t="s">
        <v>16</v>
      </c>
      <c r="C4" s="1" t="s">
        <v>2</v>
      </c>
      <c r="D4">
        <v>27.59</v>
      </c>
      <c r="E4">
        <v>7.73</v>
      </c>
      <c r="F4">
        <v>13.03</v>
      </c>
      <c r="G4">
        <v>10.47</v>
      </c>
      <c r="H4">
        <v>16.5</v>
      </c>
      <c r="I4">
        <v>1.18</v>
      </c>
      <c r="J4">
        <v>1.58</v>
      </c>
      <c r="K4" t="s">
        <v>111</v>
      </c>
    </row>
    <row r="5" spans="1:11" x14ac:dyDescent="0.2">
      <c r="A5" s="1" t="s">
        <v>21</v>
      </c>
      <c r="B5" s="1" t="s">
        <v>22</v>
      </c>
      <c r="C5" s="1" t="s">
        <v>2</v>
      </c>
      <c r="D5">
        <v>51.27</v>
      </c>
      <c r="E5">
        <v>8.4499999999999993</v>
      </c>
      <c r="F5">
        <v>106.1</v>
      </c>
      <c r="G5">
        <v>12.59</v>
      </c>
      <c r="H5">
        <v>39.83</v>
      </c>
      <c r="I5">
        <v>0.9</v>
      </c>
      <c r="J5">
        <v>1.1399999999999999</v>
      </c>
    </row>
    <row r="6" spans="1:11" x14ac:dyDescent="0.2">
      <c r="A6" s="1" t="s">
        <v>97</v>
      </c>
      <c r="B6" s="1" t="s">
        <v>98</v>
      </c>
      <c r="C6" s="1" t="s">
        <v>2</v>
      </c>
    </row>
    <row r="7" spans="1:11" x14ac:dyDescent="0.2">
      <c r="A7" s="1" t="s">
        <v>81</v>
      </c>
      <c r="B7" s="1" t="s">
        <v>82</v>
      </c>
      <c r="C7" s="1" t="s">
        <v>2</v>
      </c>
      <c r="D7">
        <v>12</v>
      </c>
      <c r="E7">
        <v>-3.93</v>
      </c>
      <c r="F7">
        <v>-13.75</v>
      </c>
      <c r="G7">
        <v>-5.39</v>
      </c>
      <c r="H7">
        <v>3.93</v>
      </c>
      <c r="I7">
        <v>1.56</v>
      </c>
      <c r="J7">
        <v>2.31</v>
      </c>
    </row>
    <row r="8" spans="1:11" x14ac:dyDescent="0.2">
      <c r="A8" s="1" t="s">
        <v>39</v>
      </c>
      <c r="B8" s="1" t="s">
        <v>40</v>
      </c>
      <c r="C8" s="1" t="s">
        <v>2</v>
      </c>
      <c r="D8">
        <v>25.02</v>
      </c>
      <c r="E8">
        <v>3.21</v>
      </c>
      <c r="F8">
        <v>6.96</v>
      </c>
      <c r="G8">
        <v>4.1399999999999997</v>
      </c>
      <c r="H8">
        <v>13.33</v>
      </c>
      <c r="I8">
        <v>0.57999999999999996</v>
      </c>
      <c r="J8">
        <v>1.05</v>
      </c>
    </row>
    <row r="9" spans="1:11" x14ac:dyDescent="0.2">
      <c r="A9" s="1" t="s">
        <v>19</v>
      </c>
      <c r="B9" s="1" t="s">
        <v>20</v>
      </c>
      <c r="C9" s="1" t="s">
        <v>2</v>
      </c>
      <c r="D9">
        <v>37.31</v>
      </c>
      <c r="E9">
        <v>7.72</v>
      </c>
      <c r="F9">
        <v>40.53</v>
      </c>
      <c r="G9">
        <v>10.98</v>
      </c>
      <c r="H9">
        <v>29.05</v>
      </c>
      <c r="I9">
        <v>1.1399999999999999</v>
      </c>
      <c r="J9">
        <v>1.26</v>
      </c>
      <c r="K9" t="s">
        <v>110</v>
      </c>
    </row>
    <row r="10" spans="1:11" x14ac:dyDescent="0.2">
      <c r="A10" s="1" t="s">
        <v>37</v>
      </c>
      <c r="B10" s="1" t="s">
        <v>38</v>
      </c>
      <c r="C10" s="1" t="s">
        <v>2</v>
      </c>
      <c r="D10">
        <v>29.83</v>
      </c>
      <c r="E10">
        <v>6.98</v>
      </c>
      <c r="F10">
        <v>12.6</v>
      </c>
      <c r="G10">
        <v>8.66</v>
      </c>
      <c r="H10">
        <v>20.6</v>
      </c>
      <c r="I10">
        <v>1.08</v>
      </c>
      <c r="J10">
        <v>1.62</v>
      </c>
    </row>
    <row r="11" spans="1:11" x14ac:dyDescent="0.2">
      <c r="A11" s="1" t="s">
        <v>57</v>
      </c>
      <c r="B11" s="1" t="s">
        <v>58</v>
      </c>
      <c r="C11" s="1" t="s">
        <v>2</v>
      </c>
      <c r="D11">
        <v>1.59</v>
      </c>
      <c r="E11">
        <v>3.16</v>
      </c>
      <c r="F11">
        <v>0</v>
      </c>
      <c r="G11">
        <v>34.86</v>
      </c>
      <c r="H11">
        <v>1.23</v>
      </c>
      <c r="I11">
        <v>0.44</v>
      </c>
      <c r="J11">
        <v>0.91</v>
      </c>
    </row>
    <row r="12" spans="1:11" x14ac:dyDescent="0.2">
      <c r="A12" s="1" t="s">
        <v>43</v>
      </c>
      <c r="B12" s="1" t="s">
        <v>44</v>
      </c>
      <c r="C12" s="1" t="s">
        <v>2</v>
      </c>
      <c r="D12">
        <v>0</v>
      </c>
      <c r="E12">
        <v>3.9</v>
      </c>
      <c r="F12">
        <v>14.4</v>
      </c>
      <c r="G12">
        <v>8.36</v>
      </c>
      <c r="H12">
        <v>4.1500000000000004</v>
      </c>
      <c r="I12">
        <v>0</v>
      </c>
      <c r="J12">
        <v>0.85</v>
      </c>
    </row>
    <row r="13" spans="1:11" x14ac:dyDescent="0.2">
      <c r="A13" s="1" t="s">
        <v>49</v>
      </c>
      <c r="B13" s="1" t="s">
        <v>50</v>
      </c>
      <c r="C13" s="1" t="s">
        <v>2</v>
      </c>
      <c r="D13">
        <v>0</v>
      </c>
      <c r="E13">
        <v>-8.2799999999999994</v>
      </c>
      <c r="F13">
        <v>-28.79</v>
      </c>
      <c r="G13">
        <v>-15.99</v>
      </c>
      <c r="H13">
        <v>-2.4500000000000002</v>
      </c>
      <c r="I13">
        <v>0</v>
      </c>
      <c r="J13">
        <v>1.1000000000000001</v>
      </c>
    </row>
    <row r="14" spans="1:11" x14ac:dyDescent="0.2">
      <c r="A14" s="1" t="s">
        <v>75</v>
      </c>
      <c r="B14" s="1" t="s">
        <v>76</v>
      </c>
      <c r="C14" s="1" t="s">
        <v>2</v>
      </c>
      <c r="D14">
        <v>30.1</v>
      </c>
      <c r="E14">
        <v>3.26</v>
      </c>
      <c r="F14">
        <v>4.87</v>
      </c>
      <c r="G14">
        <v>3.85</v>
      </c>
      <c r="H14">
        <v>20.78</v>
      </c>
      <c r="I14">
        <v>0.79</v>
      </c>
      <c r="J14">
        <v>1.34</v>
      </c>
    </row>
    <row r="15" spans="1:11" x14ac:dyDescent="0.2">
      <c r="A15" s="1" t="s">
        <v>55</v>
      </c>
      <c r="B15" s="1" t="s">
        <v>56</v>
      </c>
      <c r="C15" s="1" t="s">
        <v>2</v>
      </c>
      <c r="D15">
        <v>1.47</v>
      </c>
      <c r="E15">
        <v>2.2000000000000002</v>
      </c>
      <c r="F15">
        <v>152.25</v>
      </c>
      <c r="G15">
        <v>20.77</v>
      </c>
      <c r="H15">
        <v>1.17</v>
      </c>
      <c r="I15">
        <v>0.51</v>
      </c>
      <c r="J15">
        <v>0.92</v>
      </c>
    </row>
    <row r="16" spans="1:11" x14ac:dyDescent="0.2">
      <c r="A16" s="1" t="s">
        <v>51</v>
      </c>
      <c r="B16" s="1" t="s">
        <v>52</v>
      </c>
      <c r="C16" s="1" t="s">
        <v>2</v>
      </c>
      <c r="D16">
        <v>3.28</v>
      </c>
      <c r="E16">
        <v>0.68</v>
      </c>
      <c r="F16">
        <v>2.35</v>
      </c>
      <c r="G16">
        <v>1.18</v>
      </c>
      <c r="H16">
        <v>2.19</v>
      </c>
      <c r="I16">
        <v>0.63</v>
      </c>
      <c r="J16">
        <v>0.84</v>
      </c>
    </row>
    <row r="17" spans="1:11" x14ac:dyDescent="0.2">
      <c r="A17" s="1" t="s">
        <v>63</v>
      </c>
      <c r="B17" s="1" t="s">
        <v>64</v>
      </c>
      <c r="C17" s="1" t="s">
        <v>2</v>
      </c>
      <c r="D17">
        <v>19.170000000000002</v>
      </c>
      <c r="E17">
        <v>6.28</v>
      </c>
      <c r="F17">
        <v>14.27</v>
      </c>
      <c r="G17">
        <v>7.72</v>
      </c>
      <c r="H17">
        <v>14.09</v>
      </c>
      <c r="I17">
        <v>1.08</v>
      </c>
      <c r="J17">
        <v>1.18</v>
      </c>
    </row>
    <row r="18" spans="1:11" x14ac:dyDescent="0.2">
      <c r="A18" s="1" t="s">
        <v>17</v>
      </c>
      <c r="B18" s="1" t="s">
        <v>18</v>
      </c>
      <c r="C18" s="1" t="s">
        <v>2</v>
      </c>
      <c r="D18">
        <v>33.409999999999997</v>
      </c>
      <c r="E18">
        <v>4.5199999999999996</v>
      </c>
      <c r="F18">
        <v>7.08</v>
      </c>
      <c r="G18">
        <v>5.35</v>
      </c>
      <c r="H18">
        <v>22.87</v>
      </c>
      <c r="I18">
        <v>1.52</v>
      </c>
      <c r="J18">
        <v>1.87</v>
      </c>
    </row>
    <row r="19" spans="1:11" x14ac:dyDescent="0.2">
      <c r="A19" s="1" t="s">
        <v>91</v>
      </c>
      <c r="B19" s="1" t="s">
        <v>92</v>
      </c>
      <c r="C19" s="1" t="s">
        <v>2</v>
      </c>
      <c r="D19">
        <v>56.81</v>
      </c>
      <c r="E19">
        <v>0.35</v>
      </c>
      <c r="F19">
        <v>0.89</v>
      </c>
      <c r="G19">
        <v>0.42</v>
      </c>
      <c r="H19">
        <v>20.38</v>
      </c>
      <c r="I19">
        <v>0</v>
      </c>
      <c r="J19">
        <v>0</v>
      </c>
    </row>
    <row r="20" spans="1:11" x14ac:dyDescent="0.2">
      <c r="A20" s="1" t="s">
        <v>83</v>
      </c>
      <c r="B20" s="1" t="s">
        <v>84</v>
      </c>
      <c r="C20" s="1" t="s">
        <v>2</v>
      </c>
      <c r="D20">
        <v>30.82</v>
      </c>
      <c r="E20">
        <v>13.04</v>
      </c>
      <c r="F20">
        <v>34.5</v>
      </c>
      <c r="G20">
        <v>22.07</v>
      </c>
      <c r="H20">
        <v>25.64</v>
      </c>
      <c r="I20">
        <v>1.59</v>
      </c>
      <c r="J20">
        <v>1.88</v>
      </c>
      <c r="K20" t="s">
        <v>112</v>
      </c>
    </row>
    <row r="21" spans="1:11" x14ac:dyDescent="0.2">
      <c r="A21" s="1" t="s">
        <v>45</v>
      </c>
      <c r="B21" s="1" t="s">
        <v>46</v>
      </c>
      <c r="C21" s="1" t="s">
        <v>2</v>
      </c>
      <c r="D21">
        <v>0</v>
      </c>
      <c r="E21">
        <v>4.2699999999999996</v>
      </c>
      <c r="F21">
        <v>12.14</v>
      </c>
      <c r="G21">
        <v>7.22</v>
      </c>
      <c r="H21">
        <v>5.3</v>
      </c>
      <c r="I21">
        <v>0</v>
      </c>
      <c r="J21">
        <v>1.48</v>
      </c>
    </row>
    <row r="22" spans="1:11" x14ac:dyDescent="0.2">
      <c r="A22" s="1" t="s">
        <v>41</v>
      </c>
      <c r="B22" s="1" t="s">
        <v>42</v>
      </c>
      <c r="C22" s="1" t="s">
        <v>2</v>
      </c>
      <c r="D22">
        <v>26.77</v>
      </c>
      <c r="E22">
        <v>7.93</v>
      </c>
      <c r="F22">
        <v>10.43</v>
      </c>
      <c r="G22">
        <v>9.77</v>
      </c>
      <c r="H22">
        <v>31.22</v>
      </c>
      <c r="I22">
        <v>3.09</v>
      </c>
      <c r="J22">
        <v>3.72</v>
      </c>
    </row>
    <row r="23" spans="1:11" x14ac:dyDescent="0.2">
      <c r="A23" s="1" t="s">
        <v>85</v>
      </c>
      <c r="B23" s="1" t="s">
        <v>86</v>
      </c>
      <c r="C23" s="1" t="s">
        <v>2</v>
      </c>
      <c r="D23">
        <v>18.36</v>
      </c>
      <c r="E23">
        <v>5.96</v>
      </c>
      <c r="F23">
        <v>22.15</v>
      </c>
      <c r="G23">
        <v>11.45</v>
      </c>
      <c r="H23">
        <v>15.8</v>
      </c>
      <c r="I23">
        <v>1.08</v>
      </c>
      <c r="J23">
        <v>1.33</v>
      </c>
      <c r="K23" t="s">
        <v>113</v>
      </c>
    </row>
    <row r="24" spans="1:11" x14ac:dyDescent="0.2">
      <c r="A24" s="1" t="s">
        <v>23</v>
      </c>
      <c r="B24" s="1" t="s">
        <v>24</v>
      </c>
      <c r="C24" s="1" t="s">
        <v>2</v>
      </c>
      <c r="D24">
        <v>46.01</v>
      </c>
      <c r="E24">
        <v>14.42</v>
      </c>
      <c r="F24">
        <v>40.49</v>
      </c>
      <c r="G24">
        <v>18.899999999999999</v>
      </c>
      <c r="H24">
        <v>37.64</v>
      </c>
      <c r="I24">
        <v>1.4</v>
      </c>
      <c r="J24">
        <v>1.55</v>
      </c>
      <c r="K24" t="s">
        <v>113</v>
      </c>
    </row>
    <row r="25" spans="1:11" x14ac:dyDescent="0.2">
      <c r="A25" s="1" t="s">
        <v>59</v>
      </c>
      <c r="B25" s="1" t="s">
        <v>60</v>
      </c>
      <c r="C25" s="1" t="s">
        <v>2</v>
      </c>
      <c r="D25">
        <v>19.850000000000001</v>
      </c>
      <c r="E25">
        <v>11.21</v>
      </c>
      <c r="F25">
        <v>0</v>
      </c>
      <c r="G25">
        <v>18.260000000000002</v>
      </c>
      <c r="H25">
        <v>14.98</v>
      </c>
      <c r="I25">
        <v>0.75</v>
      </c>
      <c r="J25">
        <v>0.83</v>
      </c>
      <c r="K25" t="s">
        <v>113</v>
      </c>
    </row>
    <row r="26" spans="1:11" x14ac:dyDescent="0.2">
      <c r="A26" s="1" t="s">
        <v>77</v>
      </c>
      <c r="B26" s="1" t="s">
        <v>78</v>
      </c>
      <c r="C26" s="1" t="s">
        <v>2</v>
      </c>
      <c r="D26">
        <v>29.63</v>
      </c>
      <c r="E26">
        <v>6.07</v>
      </c>
      <c r="F26">
        <v>10.86</v>
      </c>
      <c r="G26">
        <v>7.24</v>
      </c>
      <c r="H26">
        <v>22.99</v>
      </c>
      <c r="I26">
        <v>3.32</v>
      </c>
      <c r="J26">
        <v>4.04</v>
      </c>
      <c r="K26" t="s">
        <v>113</v>
      </c>
    </row>
    <row r="27" spans="1:11" x14ac:dyDescent="0.2">
      <c r="A27" s="1" t="s">
        <v>47</v>
      </c>
      <c r="B27" s="1" t="s">
        <v>48</v>
      </c>
      <c r="C27" s="1" t="s">
        <v>2</v>
      </c>
      <c r="D27">
        <v>0</v>
      </c>
      <c r="E27">
        <v>2.5</v>
      </c>
      <c r="F27">
        <v>6.98</v>
      </c>
      <c r="G27">
        <v>4.07</v>
      </c>
      <c r="H27">
        <v>-2.4900000000000002</v>
      </c>
      <c r="I27">
        <v>0</v>
      </c>
      <c r="J27">
        <v>2</v>
      </c>
    </row>
    <row r="28" spans="1:11" x14ac:dyDescent="0.2">
      <c r="A28" s="1" t="s">
        <v>67</v>
      </c>
      <c r="B28" s="1" t="s">
        <v>68</v>
      </c>
      <c r="C28" s="1" t="s">
        <v>2</v>
      </c>
      <c r="D28">
        <v>22.09</v>
      </c>
      <c r="E28">
        <v>4.79</v>
      </c>
      <c r="F28">
        <v>21.64</v>
      </c>
      <c r="G28">
        <v>6.78</v>
      </c>
      <c r="H28">
        <v>14.82</v>
      </c>
      <c r="I28">
        <v>0.75</v>
      </c>
      <c r="J28">
        <v>0.75</v>
      </c>
      <c r="K28" t="s">
        <v>113</v>
      </c>
    </row>
    <row r="29" spans="1:11" x14ac:dyDescent="0.2">
      <c r="A29" s="1" t="s">
        <v>25</v>
      </c>
      <c r="B29" s="1" t="s">
        <v>26</v>
      </c>
      <c r="C29" s="1" t="s">
        <v>2</v>
      </c>
      <c r="D29">
        <v>37.58</v>
      </c>
      <c r="E29">
        <v>15.15</v>
      </c>
      <c r="F29">
        <v>17.23</v>
      </c>
      <c r="G29">
        <v>17.23</v>
      </c>
      <c r="H29">
        <v>30.87</v>
      </c>
      <c r="I29">
        <v>3.59</v>
      </c>
      <c r="J29">
        <v>4.6100000000000003</v>
      </c>
    </row>
    <row r="30" spans="1:11" x14ac:dyDescent="0.2">
      <c r="A30" s="1" t="s">
        <v>3</v>
      </c>
      <c r="B30" s="1" t="s">
        <v>4</v>
      </c>
      <c r="C30" s="1" t="s">
        <v>2</v>
      </c>
      <c r="D30">
        <v>35.64</v>
      </c>
      <c r="E30">
        <v>10.66</v>
      </c>
      <c r="F30">
        <v>26.42</v>
      </c>
      <c r="G30">
        <v>17.89</v>
      </c>
      <c r="H30">
        <v>27.32</v>
      </c>
      <c r="I30">
        <v>0.77</v>
      </c>
      <c r="J30">
        <v>1.03</v>
      </c>
      <c r="K30" t="s">
        <v>113</v>
      </c>
    </row>
    <row r="31" spans="1:11" x14ac:dyDescent="0.2">
      <c r="A31" s="1" t="s">
        <v>65</v>
      </c>
      <c r="B31" s="1" t="s">
        <v>66</v>
      </c>
      <c r="C31" s="1" t="s">
        <v>2</v>
      </c>
      <c r="D31">
        <v>15.79</v>
      </c>
      <c r="E31">
        <v>4.7699999999999996</v>
      </c>
      <c r="F31">
        <v>10.51</v>
      </c>
      <c r="G31">
        <v>6.13</v>
      </c>
      <c r="H31">
        <v>10.87</v>
      </c>
      <c r="I31">
        <v>1.23</v>
      </c>
      <c r="J31">
        <v>1.42</v>
      </c>
      <c r="K31" t="s">
        <v>113</v>
      </c>
    </row>
    <row r="32" spans="1:11" x14ac:dyDescent="0.2">
      <c r="A32" s="1" t="s">
        <v>0</v>
      </c>
      <c r="B32" s="1" t="s">
        <v>1</v>
      </c>
      <c r="C32" s="1" t="s">
        <v>2</v>
      </c>
      <c r="D32">
        <v>49.61</v>
      </c>
      <c r="E32">
        <v>21.59</v>
      </c>
      <c r="F32">
        <v>101.35</v>
      </c>
      <c r="G32">
        <v>37.1</v>
      </c>
      <c r="H32">
        <v>46.58</v>
      </c>
      <c r="I32">
        <v>1.19</v>
      </c>
      <c r="J32">
        <v>1.58</v>
      </c>
    </row>
    <row r="33" spans="1:11" x14ac:dyDescent="0.2">
      <c r="A33" s="1" t="s">
        <v>53</v>
      </c>
      <c r="B33" s="1" t="s">
        <v>54</v>
      </c>
      <c r="C33" s="1" t="s">
        <v>2</v>
      </c>
      <c r="D33">
        <v>1.72</v>
      </c>
      <c r="E33">
        <v>5.59</v>
      </c>
      <c r="F33">
        <v>0</v>
      </c>
      <c r="G33">
        <v>99.37</v>
      </c>
      <c r="H33">
        <v>1.54</v>
      </c>
      <c r="I33">
        <v>0.48</v>
      </c>
      <c r="J33">
        <v>0.88</v>
      </c>
    </row>
    <row r="34" spans="1:11" x14ac:dyDescent="0.2">
      <c r="A34" s="1" t="s">
        <v>33</v>
      </c>
      <c r="B34" s="1" t="s">
        <v>34</v>
      </c>
      <c r="C34" s="1" t="s">
        <v>2</v>
      </c>
      <c r="D34">
        <v>27.39</v>
      </c>
      <c r="E34">
        <v>5.09</v>
      </c>
      <c r="F34">
        <v>9.3800000000000008</v>
      </c>
      <c r="G34">
        <v>6.14</v>
      </c>
      <c r="H34">
        <v>19.09</v>
      </c>
      <c r="I34">
        <v>1.87</v>
      </c>
      <c r="J34">
        <v>2.54</v>
      </c>
    </row>
    <row r="35" spans="1:11" x14ac:dyDescent="0.2">
      <c r="A35" s="1" t="s">
        <v>9</v>
      </c>
      <c r="B35" s="1" t="s">
        <v>10</v>
      </c>
      <c r="C35" s="1" t="s">
        <v>2</v>
      </c>
      <c r="D35">
        <v>52.84</v>
      </c>
      <c r="E35">
        <v>14.37</v>
      </c>
      <c r="F35">
        <v>36.909999999999997</v>
      </c>
      <c r="G35">
        <v>20.07</v>
      </c>
      <c r="H35">
        <v>37.74</v>
      </c>
      <c r="I35">
        <v>1.3</v>
      </c>
      <c r="J35">
        <v>1.54</v>
      </c>
    </row>
    <row r="36" spans="1:11" x14ac:dyDescent="0.2">
      <c r="A36" s="1" t="s">
        <v>7</v>
      </c>
      <c r="B36" s="1" t="s">
        <v>8</v>
      </c>
      <c r="C36" s="1" t="s">
        <v>2</v>
      </c>
      <c r="D36">
        <v>31.19</v>
      </c>
      <c r="E36">
        <v>3.67</v>
      </c>
      <c r="F36">
        <v>8.8699999999999992</v>
      </c>
      <c r="G36">
        <v>5.19</v>
      </c>
      <c r="H36">
        <v>21.58</v>
      </c>
      <c r="I36">
        <v>0.87</v>
      </c>
      <c r="J36">
        <v>1.1599999999999999</v>
      </c>
    </row>
    <row r="37" spans="1:11" x14ac:dyDescent="0.2">
      <c r="A37" s="1" t="s">
        <v>87</v>
      </c>
      <c r="B37" s="1" t="s">
        <v>88</v>
      </c>
      <c r="C37" s="1" t="s">
        <v>2</v>
      </c>
      <c r="D37">
        <v>22.57</v>
      </c>
      <c r="E37">
        <v>7.87</v>
      </c>
      <c r="F37">
        <v>18.12</v>
      </c>
      <c r="G37">
        <v>9.8000000000000007</v>
      </c>
      <c r="H37">
        <v>18.670000000000002</v>
      </c>
      <c r="I37">
        <v>2.11</v>
      </c>
      <c r="J37">
        <v>2.78</v>
      </c>
    </row>
    <row r="38" spans="1:11" x14ac:dyDescent="0.2">
      <c r="A38" s="1" t="s">
        <v>29</v>
      </c>
      <c r="B38" s="1" t="s">
        <v>30</v>
      </c>
      <c r="C38" s="1" t="s">
        <v>2</v>
      </c>
      <c r="D38">
        <v>26.87</v>
      </c>
      <c r="E38">
        <v>11.49</v>
      </c>
      <c r="F38">
        <v>14.87</v>
      </c>
      <c r="G38">
        <v>13.56</v>
      </c>
      <c r="H38">
        <v>23.13</v>
      </c>
      <c r="I38">
        <v>3.39</v>
      </c>
      <c r="J38">
        <v>4.13</v>
      </c>
    </row>
    <row r="39" spans="1:11" x14ac:dyDescent="0.2">
      <c r="A39" s="1" t="s">
        <v>89</v>
      </c>
      <c r="B39" s="1" t="s">
        <v>90</v>
      </c>
      <c r="C39" s="1" t="s">
        <v>2</v>
      </c>
      <c r="D39">
        <v>32.21</v>
      </c>
      <c r="E39">
        <v>1.95</v>
      </c>
      <c r="F39">
        <v>3.22</v>
      </c>
      <c r="G39">
        <v>2.2799999999999998</v>
      </c>
      <c r="H39">
        <v>18.86</v>
      </c>
      <c r="I39">
        <v>1.4</v>
      </c>
      <c r="J39">
        <v>1.68</v>
      </c>
    </row>
    <row r="40" spans="1:11" x14ac:dyDescent="0.2">
      <c r="A40" s="1" t="s">
        <v>73</v>
      </c>
      <c r="B40" s="1" t="s">
        <v>74</v>
      </c>
      <c r="C40" s="1" t="s">
        <v>2</v>
      </c>
      <c r="D40">
        <v>26.66</v>
      </c>
      <c r="E40">
        <v>6.88</v>
      </c>
      <c r="F40">
        <v>10.44</v>
      </c>
      <c r="G40">
        <v>7.98</v>
      </c>
      <c r="H40">
        <v>18.510000000000002</v>
      </c>
      <c r="I40">
        <v>1.75</v>
      </c>
      <c r="J40">
        <v>2.48</v>
      </c>
    </row>
    <row r="41" spans="1:11" x14ac:dyDescent="0.2">
      <c r="A41" s="1" t="s">
        <v>35</v>
      </c>
      <c r="B41" s="1" t="s">
        <v>36</v>
      </c>
      <c r="C41" s="1" t="s">
        <v>2</v>
      </c>
      <c r="D41">
        <v>32.14</v>
      </c>
      <c r="E41">
        <v>7.15</v>
      </c>
      <c r="F41">
        <v>15.08</v>
      </c>
      <c r="G41">
        <v>9.17</v>
      </c>
      <c r="H41">
        <v>27.74</v>
      </c>
      <c r="I41">
        <v>1.21</v>
      </c>
      <c r="J41">
        <v>1.89</v>
      </c>
    </row>
    <row r="42" spans="1:11" x14ac:dyDescent="0.2">
      <c r="A42" s="1" t="s">
        <v>13</v>
      </c>
      <c r="B42" s="1" t="s">
        <v>14</v>
      </c>
      <c r="C42" s="1" t="s">
        <v>2</v>
      </c>
      <c r="D42">
        <v>24.06</v>
      </c>
      <c r="E42">
        <v>6.46</v>
      </c>
      <c r="F42">
        <v>13.54</v>
      </c>
      <c r="G42">
        <v>7.94</v>
      </c>
      <c r="H42">
        <v>17.37</v>
      </c>
      <c r="I42">
        <v>1.1499999999999999</v>
      </c>
      <c r="J42">
        <v>1.53</v>
      </c>
    </row>
    <row r="43" spans="1:11" x14ac:dyDescent="0.2">
      <c r="A43" s="1" t="s">
        <v>61</v>
      </c>
      <c r="B43" s="1" t="s">
        <v>62</v>
      </c>
      <c r="C43" s="1" t="s">
        <v>2</v>
      </c>
      <c r="D43">
        <v>15.17</v>
      </c>
      <c r="E43">
        <v>9.66</v>
      </c>
      <c r="F43">
        <v>21.36</v>
      </c>
      <c r="G43">
        <v>12.87</v>
      </c>
      <c r="H43">
        <v>11.53</v>
      </c>
      <c r="I43">
        <v>0.98</v>
      </c>
      <c r="J43">
        <v>1.05</v>
      </c>
    </row>
    <row r="44" spans="1:11" x14ac:dyDescent="0.2">
      <c r="A44" s="1" t="s">
        <v>5</v>
      </c>
      <c r="B44" s="1" t="s">
        <v>6</v>
      </c>
      <c r="C44" s="1" t="s">
        <v>2</v>
      </c>
      <c r="D44">
        <v>0</v>
      </c>
      <c r="E44">
        <v>3.87</v>
      </c>
      <c r="F44">
        <v>0</v>
      </c>
      <c r="G44">
        <v>0</v>
      </c>
      <c r="H44">
        <v>8.0500000000000007</v>
      </c>
      <c r="I44">
        <v>0</v>
      </c>
      <c r="J44">
        <v>0.8</v>
      </c>
    </row>
    <row r="45" spans="1:11" x14ac:dyDescent="0.2">
      <c r="A45" s="1" t="s">
        <v>27</v>
      </c>
      <c r="B45" s="1" t="s">
        <v>28</v>
      </c>
      <c r="C45" s="1" t="s">
        <v>2</v>
      </c>
      <c r="D45">
        <v>41.94</v>
      </c>
      <c r="E45">
        <v>16.059999999999999</v>
      </c>
      <c r="F45">
        <v>22.54</v>
      </c>
      <c r="G45">
        <v>20.440000000000001</v>
      </c>
      <c r="H45">
        <v>40.299999999999997</v>
      </c>
      <c r="I45">
        <v>2.46</v>
      </c>
      <c r="J45">
        <v>2.9</v>
      </c>
    </row>
    <row r="46" spans="1:11" x14ac:dyDescent="0.2">
      <c r="A46" s="1" t="s">
        <v>93</v>
      </c>
      <c r="B46" s="1" t="s">
        <v>94</v>
      </c>
      <c r="C46" s="1" t="s">
        <v>2</v>
      </c>
      <c r="D46">
        <v>36.880000000000003</v>
      </c>
      <c r="E46">
        <v>0.93</v>
      </c>
      <c r="F46">
        <v>2.16</v>
      </c>
      <c r="G46">
        <v>1.08</v>
      </c>
      <c r="H46">
        <v>15.04</v>
      </c>
      <c r="I46">
        <v>0</v>
      </c>
      <c r="J46">
        <v>0</v>
      </c>
    </row>
    <row r="47" spans="1:11" x14ac:dyDescent="0.2">
      <c r="A47" s="1" t="s">
        <v>95</v>
      </c>
      <c r="B47" s="1" t="s">
        <v>96</v>
      </c>
      <c r="C47" s="1" t="s">
        <v>2</v>
      </c>
      <c r="K47" t="s">
        <v>113</v>
      </c>
    </row>
    <row r="48" spans="1:11" x14ac:dyDescent="0.2">
      <c r="A48" s="1" t="s">
        <v>71</v>
      </c>
      <c r="B48" s="1" t="s">
        <v>72</v>
      </c>
      <c r="C48" s="1" t="s">
        <v>2</v>
      </c>
      <c r="D48">
        <v>26.81</v>
      </c>
      <c r="E48">
        <v>14.05</v>
      </c>
      <c r="F48">
        <v>19.13</v>
      </c>
      <c r="G48">
        <v>17.350000000000001</v>
      </c>
      <c r="H48">
        <v>21.45</v>
      </c>
      <c r="I48">
        <v>2.04</v>
      </c>
      <c r="J48">
        <v>2.71</v>
      </c>
      <c r="K48" t="s">
        <v>113</v>
      </c>
    </row>
    <row r="49" spans="1:11" x14ac:dyDescent="0.2">
      <c r="A49" s="1" t="s">
        <v>79</v>
      </c>
      <c r="B49" s="1" t="s">
        <v>80</v>
      </c>
      <c r="C49" s="1" t="s">
        <v>2</v>
      </c>
      <c r="D49">
        <v>25.27</v>
      </c>
      <c r="E49">
        <v>3.17</v>
      </c>
      <c r="F49">
        <v>5.6</v>
      </c>
      <c r="G49">
        <v>3.73</v>
      </c>
      <c r="H49">
        <v>12.61</v>
      </c>
      <c r="I49">
        <v>1.1000000000000001</v>
      </c>
      <c r="J49">
        <v>1.98</v>
      </c>
      <c r="K49" t="s">
        <v>113</v>
      </c>
    </row>
    <row r="50" spans="1:11" x14ac:dyDescent="0.2">
      <c r="A50" s="1" t="s">
        <v>31</v>
      </c>
      <c r="B50" s="1" t="s">
        <v>32</v>
      </c>
      <c r="C50" s="1" t="s">
        <v>2</v>
      </c>
      <c r="D50">
        <v>39.67</v>
      </c>
      <c r="E50">
        <v>18</v>
      </c>
      <c r="F50">
        <v>65.989999999999995</v>
      </c>
      <c r="G50">
        <v>23.51</v>
      </c>
      <c r="H50">
        <v>34.6</v>
      </c>
      <c r="I50">
        <v>1.94</v>
      </c>
      <c r="J50">
        <v>3.03</v>
      </c>
      <c r="K50" t="s">
        <v>113</v>
      </c>
    </row>
  </sheetData>
  <sortState xmlns:xlrd2="http://schemas.microsoft.com/office/spreadsheetml/2017/richdata2" ref="A2:J50">
    <sortCondition ref="A2:A5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2B48-6EB3-F849-BE2C-816A74328224}">
  <dimension ref="A1:J38"/>
  <sheetViews>
    <sheetView workbookViewId="0">
      <selection activeCell="J1" sqref="J1"/>
    </sheetView>
  </sheetViews>
  <sheetFormatPr baseColWidth="10" defaultRowHeight="16" x14ac:dyDescent="0.2"/>
  <cols>
    <col min="1" max="1" width="7" bestFit="1" customWidth="1"/>
    <col min="2" max="2" width="32.5" bestFit="1" customWidth="1"/>
    <col min="3" max="3" width="11.33203125" bestFit="1" customWidth="1"/>
    <col min="4" max="4" width="14.1640625" bestFit="1" customWidth="1"/>
    <col min="5" max="5" width="6.1640625" bestFit="1" customWidth="1"/>
    <col min="6" max="6" width="7.1640625" bestFit="1" customWidth="1"/>
    <col min="7" max="7" width="6.1640625" bestFit="1" customWidth="1"/>
    <col min="8" max="8" width="17.33203125" bestFit="1" customWidth="1"/>
    <col min="9" max="9" width="11.6640625" bestFit="1" customWidth="1"/>
    <col min="10" max="10" width="14.33203125" bestFit="1" customWidth="1"/>
  </cols>
  <sheetData>
    <row r="1" spans="1:10" x14ac:dyDescent="0.2">
      <c r="A1" t="s">
        <v>99</v>
      </c>
      <c r="B1" t="s">
        <v>100</v>
      </c>
      <c r="C1" t="s">
        <v>101</v>
      </c>
      <c r="D1" t="s">
        <v>102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</row>
    <row r="2" spans="1:10" x14ac:dyDescent="0.2">
      <c r="A2" s="1" t="s">
        <v>0</v>
      </c>
      <c r="B2" s="1" t="s">
        <v>1</v>
      </c>
      <c r="C2" s="1" t="s">
        <v>2</v>
      </c>
      <c r="D2">
        <v>49.61</v>
      </c>
      <c r="E2">
        <v>21.59</v>
      </c>
      <c r="F2">
        <v>101.35</v>
      </c>
      <c r="G2">
        <v>37.1</v>
      </c>
      <c r="H2">
        <v>46.58</v>
      </c>
      <c r="I2">
        <v>1.19</v>
      </c>
      <c r="J2">
        <v>1.58</v>
      </c>
    </row>
    <row r="3" spans="1:10" x14ac:dyDescent="0.2">
      <c r="A3" s="1" t="s">
        <v>3</v>
      </c>
      <c r="B3" s="1" t="s">
        <v>4</v>
      </c>
      <c r="C3" s="1" t="s">
        <v>2</v>
      </c>
      <c r="D3">
        <v>35.64</v>
      </c>
      <c r="E3">
        <v>10.66</v>
      </c>
      <c r="F3">
        <v>26.42</v>
      </c>
      <c r="G3">
        <v>17.89</v>
      </c>
      <c r="H3">
        <v>27.32</v>
      </c>
      <c r="I3">
        <v>0.77</v>
      </c>
      <c r="J3">
        <v>1.03</v>
      </c>
    </row>
    <row r="4" spans="1:10" x14ac:dyDescent="0.2">
      <c r="A4" s="1" t="s">
        <v>7</v>
      </c>
      <c r="B4" s="1" t="s">
        <v>8</v>
      </c>
      <c r="C4" s="1" t="s">
        <v>2</v>
      </c>
      <c r="D4">
        <v>31.19</v>
      </c>
      <c r="E4">
        <v>3.67</v>
      </c>
      <c r="F4">
        <v>8.8699999999999992</v>
      </c>
      <c r="G4">
        <v>5.19</v>
      </c>
      <c r="H4">
        <v>21.58</v>
      </c>
      <c r="I4">
        <v>0.87</v>
      </c>
      <c r="J4">
        <v>1.1599999999999999</v>
      </c>
    </row>
    <row r="5" spans="1:10" x14ac:dyDescent="0.2">
      <c r="A5" s="1" t="s">
        <v>9</v>
      </c>
      <c r="B5" s="1" t="s">
        <v>10</v>
      </c>
      <c r="C5" s="1" t="s">
        <v>2</v>
      </c>
      <c r="D5">
        <v>52.84</v>
      </c>
      <c r="E5">
        <v>14.37</v>
      </c>
      <c r="F5">
        <v>36.909999999999997</v>
      </c>
      <c r="G5">
        <v>20.07</v>
      </c>
      <c r="H5">
        <v>37.74</v>
      </c>
      <c r="I5">
        <v>1.3</v>
      </c>
      <c r="J5">
        <v>1.54</v>
      </c>
    </row>
    <row r="6" spans="1:10" x14ac:dyDescent="0.2">
      <c r="A6" s="1" t="s">
        <v>11</v>
      </c>
      <c r="B6" s="1" t="s">
        <v>12</v>
      </c>
      <c r="C6" s="1" t="s">
        <v>2</v>
      </c>
      <c r="D6">
        <v>46.18</v>
      </c>
      <c r="E6">
        <v>3.11</v>
      </c>
      <c r="F6">
        <v>6200</v>
      </c>
      <c r="G6">
        <v>6.93</v>
      </c>
      <c r="H6">
        <v>34.229999999999997</v>
      </c>
      <c r="I6">
        <v>0.56000000000000005</v>
      </c>
      <c r="J6">
        <v>0.67</v>
      </c>
    </row>
    <row r="7" spans="1:10" x14ac:dyDescent="0.2">
      <c r="A7" s="1" t="s">
        <v>13</v>
      </c>
      <c r="B7" s="1" t="s">
        <v>14</v>
      </c>
      <c r="C7" s="1" t="s">
        <v>2</v>
      </c>
      <c r="D7">
        <v>24.06</v>
      </c>
      <c r="E7">
        <v>6.46</v>
      </c>
      <c r="F7">
        <v>13.54</v>
      </c>
      <c r="G7">
        <v>7.94</v>
      </c>
      <c r="H7">
        <v>17.37</v>
      </c>
      <c r="I7">
        <v>1.1499999999999999</v>
      </c>
      <c r="J7">
        <v>1.53</v>
      </c>
    </row>
    <row r="8" spans="1:10" x14ac:dyDescent="0.2">
      <c r="A8" s="1" t="s">
        <v>15</v>
      </c>
      <c r="B8" s="1" t="s">
        <v>16</v>
      </c>
      <c r="C8" s="1" t="s">
        <v>2</v>
      </c>
      <c r="D8">
        <v>27.59</v>
      </c>
      <c r="E8">
        <v>7.73</v>
      </c>
      <c r="F8">
        <v>13.03</v>
      </c>
      <c r="G8">
        <v>10.47</v>
      </c>
      <c r="H8">
        <v>16.5</v>
      </c>
      <c r="I8">
        <v>1.18</v>
      </c>
      <c r="J8">
        <v>1.58</v>
      </c>
    </row>
    <row r="9" spans="1:10" x14ac:dyDescent="0.2">
      <c r="A9" s="1" t="s">
        <v>17</v>
      </c>
      <c r="B9" s="1" t="s">
        <v>18</v>
      </c>
      <c r="C9" s="1" t="s">
        <v>2</v>
      </c>
      <c r="D9">
        <v>33.409999999999997</v>
      </c>
      <c r="E9">
        <v>4.5199999999999996</v>
      </c>
      <c r="F9">
        <v>7.08</v>
      </c>
      <c r="G9">
        <v>5.35</v>
      </c>
      <c r="H9">
        <v>22.87</v>
      </c>
      <c r="I9">
        <v>1.52</v>
      </c>
      <c r="J9">
        <v>1.87</v>
      </c>
    </row>
    <row r="10" spans="1:10" x14ac:dyDescent="0.2">
      <c r="A10" s="1" t="s">
        <v>19</v>
      </c>
      <c r="B10" s="1" t="s">
        <v>20</v>
      </c>
      <c r="C10" s="1" t="s">
        <v>2</v>
      </c>
      <c r="D10">
        <v>37.31</v>
      </c>
      <c r="E10">
        <v>7.72</v>
      </c>
      <c r="F10">
        <v>40.53</v>
      </c>
      <c r="G10">
        <v>10.98</v>
      </c>
      <c r="H10">
        <v>29.05</v>
      </c>
      <c r="I10">
        <v>1.1399999999999999</v>
      </c>
      <c r="J10">
        <v>1.26</v>
      </c>
    </row>
    <row r="11" spans="1:10" x14ac:dyDescent="0.2">
      <c r="A11" s="1" t="s">
        <v>21</v>
      </c>
      <c r="B11" s="1" t="s">
        <v>22</v>
      </c>
      <c r="C11" s="1" t="s">
        <v>2</v>
      </c>
      <c r="D11">
        <v>51.27</v>
      </c>
      <c r="E11">
        <v>8.4499999999999993</v>
      </c>
      <c r="F11">
        <v>106.1</v>
      </c>
      <c r="G11">
        <v>12.59</v>
      </c>
      <c r="H11">
        <v>39.83</v>
      </c>
      <c r="I11">
        <v>0.9</v>
      </c>
      <c r="J11">
        <v>1.1399999999999999</v>
      </c>
    </row>
    <row r="12" spans="1:10" x14ac:dyDescent="0.2">
      <c r="A12" s="1" t="s">
        <v>23</v>
      </c>
      <c r="B12" s="1" t="s">
        <v>24</v>
      </c>
      <c r="C12" s="1" t="s">
        <v>2</v>
      </c>
      <c r="D12">
        <v>46.01</v>
      </c>
      <c r="E12">
        <v>14.42</v>
      </c>
      <c r="F12">
        <v>40.49</v>
      </c>
      <c r="G12">
        <v>18.899999999999999</v>
      </c>
      <c r="H12">
        <v>37.64</v>
      </c>
      <c r="I12">
        <v>1.4</v>
      </c>
      <c r="J12">
        <v>1.55</v>
      </c>
    </row>
    <row r="13" spans="1:10" x14ac:dyDescent="0.2">
      <c r="A13" s="1" t="s">
        <v>25</v>
      </c>
      <c r="B13" s="1" t="s">
        <v>26</v>
      </c>
      <c r="C13" s="1" t="s">
        <v>2</v>
      </c>
      <c r="D13">
        <v>37.58</v>
      </c>
      <c r="E13">
        <v>15.15</v>
      </c>
      <c r="F13">
        <v>17.23</v>
      </c>
      <c r="G13">
        <v>17.23</v>
      </c>
      <c r="H13">
        <v>30.87</v>
      </c>
      <c r="I13">
        <v>3.59</v>
      </c>
      <c r="J13">
        <v>4.6100000000000003</v>
      </c>
    </row>
    <row r="14" spans="1:10" x14ac:dyDescent="0.2">
      <c r="A14" s="1" t="s">
        <v>27</v>
      </c>
      <c r="B14" s="1" t="s">
        <v>28</v>
      </c>
      <c r="C14" s="1" t="s">
        <v>2</v>
      </c>
      <c r="D14">
        <v>41.94</v>
      </c>
      <c r="E14">
        <v>16.059999999999999</v>
      </c>
      <c r="F14">
        <v>22.54</v>
      </c>
      <c r="G14">
        <v>20.440000000000001</v>
      </c>
      <c r="H14">
        <v>40.299999999999997</v>
      </c>
      <c r="I14">
        <v>2.46</v>
      </c>
      <c r="J14">
        <v>2.9</v>
      </c>
    </row>
    <row r="15" spans="1:10" x14ac:dyDescent="0.2">
      <c r="A15" s="1" t="s">
        <v>29</v>
      </c>
      <c r="B15" s="1" t="s">
        <v>30</v>
      </c>
      <c r="C15" s="1" t="s">
        <v>2</v>
      </c>
      <c r="D15">
        <v>26.87</v>
      </c>
      <c r="E15">
        <v>11.49</v>
      </c>
      <c r="F15">
        <v>14.87</v>
      </c>
      <c r="G15">
        <v>13.56</v>
      </c>
      <c r="H15">
        <v>23.13</v>
      </c>
      <c r="I15">
        <v>3.39</v>
      </c>
      <c r="J15">
        <v>4.13</v>
      </c>
    </row>
    <row r="16" spans="1:10" x14ac:dyDescent="0.2">
      <c r="A16" s="1" t="s">
        <v>31</v>
      </c>
      <c r="B16" s="1" t="s">
        <v>32</v>
      </c>
      <c r="C16" s="1" t="s">
        <v>2</v>
      </c>
      <c r="D16">
        <v>39.67</v>
      </c>
      <c r="E16">
        <v>18</v>
      </c>
      <c r="F16">
        <v>65.989999999999995</v>
      </c>
      <c r="G16">
        <v>23.51</v>
      </c>
      <c r="H16">
        <v>34.6</v>
      </c>
      <c r="I16">
        <v>1.94</v>
      </c>
      <c r="J16">
        <v>3.03</v>
      </c>
    </row>
    <row r="17" spans="1:10" x14ac:dyDescent="0.2">
      <c r="A17" s="1" t="s">
        <v>33</v>
      </c>
      <c r="B17" s="1" t="s">
        <v>34</v>
      </c>
      <c r="C17" s="1" t="s">
        <v>2</v>
      </c>
      <c r="D17">
        <v>27.39</v>
      </c>
      <c r="E17">
        <v>5.09</v>
      </c>
      <c r="F17">
        <v>9.3800000000000008</v>
      </c>
      <c r="G17">
        <v>6.14</v>
      </c>
      <c r="H17">
        <v>19.09</v>
      </c>
      <c r="I17">
        <v>1.87</v>
      </c>
      <c r="J17">
        <v>2.54</v>
      </c>
    </row>
    <row r="18" spans="1:10" x14ac:dyDescent="0.2">
      <c r="A18" s="1" t="s">
        <v>35</v>
      </c>
      <c r="B18" s="1" t="s">
        <v>36</v>
      </c>
      <c r="C18" s="1" t="s">
        <v>2</v>
      </c>
      <c r="D18">
        <v>32.14</v>
      </c>
      <c r="E18">
        <v>7.15</v>
      </c>
      <c r="F18">
        <v>15.08</v>
      </c>
      <c r="G18">
        <v>9.17</v>
      </c>
      <c r="H18">
        <v>27.74</v>
      </c>
      <c r="I18">
        <v>1.21</v>
      </c>
      <c r="J18">
        <v>1.89</v>
      </c>
    </row>
    <row r="19" spans="1:10" x14ac:dyDescent="0.2">
      <c r="A19" s="1" t="s">
        <v>37</v>
      </c>
      <c r="B19" s="1" t="s">
        <v>38</v>
      </c>
      <c r="C19" s="1" t="s">
        <v>2</v>
      </c>
      <c r="D19">
        <v>29.83</v>
      </c>
      <c r="E19">
        <v>6.98</v>
      </c>
      <c r="F19">
        <v>12.6</v>
      </c>
      <c r="G19">
        <v>8.66</v>
      </c>
      <c r="H19">
        <v>20.6</v>
      </c>
      <c r="I19">
        <v>1.08</v>
      </c>
      <c r="J19">
        <v>1.62</v>
      </c>
    </row>
    <row r="20" spans="1:10" x14ac:dyDescent="0.2">
      <c r="A20" s="1" t="s">
        <v>39</v>
      </c>
      <c r="B20" s="1" t="s">
        <v>40</v>
      </c>
      <c r="C20" s="1" t="s">
        <v>2</v>
      </c>
      <c r="D20">
        <v>25.02</v>
      </c>
      <c r="E20">
        <v>3.21</v>
      </c>
      <c r="F20">
        <v>6.96</v>
      </c>
      <c r="G20">
        <v>4.1399999999999997</v>
      </c>
      <c r="H20">
        <v>13.33</v>
      </c>
      <c r="I20">
        <v>0.57999999999999996</v>
      </c>
      <c r="J20">
        <v>1.05</v>
      </c>
    </row>
    <row r="21" spans="1:10" x14ac:dyDescent="0.2">
      <c r="A21" s="1" t="s">
        <v>41</v>
      </c>
      <c r="B21" s="1" t="s">
        <v>42</v>
      </c>
      <c r="C21" s="1" t="s">
        <v>2</v>
      </c>
      <c r="D21">
        <v>26.77</v>
      </c>
      <c r="E21">
        <v>7.93</v>
      </c>
      <c r="F21">
        <v>10.43</v>
      </c>
      <c r="G21">
        <v>9.77</v>
      </c>
      <c r="H21">
        <v>31.22</v>
      </c>
      <c r="I21">
        <v>3.09</v>
      </c>
      <c r="J21">
        <v>3.72</v>
      </c>
    </row>
    <row r="22" spans="1:10" x14ac:dyDescent="0.2">
      <c r="A22" s="1" t="s">
        <v>51</v>
      </c>
      <c r="B22" s="1" t="s">
        <v>52</v>
      </c>
      <c r="C22" s="1" t="s">
        <v>2</v>
      </c>
      <c r="D22">
        <v>3.28</v>
      </c>
      <c r="E22">
        <v>0.68</v>
      </c>
      <c r="F22">
        <v>2.35</v>
      </c>
      <c r="G22">
        <v>1.18</v>
      </c>
      <c r="H22">
        <v>2.19</v>
      </c>
      <c r="I22">
        <v>0.63</v>
      </c>
      <c r="J22">
        <v>0.84</v>
      </c>
    </row>
    <row r="23" spans="1:10" x14ac:dyDescent="0.2">
      <c r="A23" s="1" t="s">
        <v>55</v>
      </c>
      <c r="B23" s="1" t="s">
        <v>56</v>
      </c>
      <c r="C23" s="1" t="s">
        <v>2</v>
      </c>
      <c r="D23">
        <v>1.47</v>
      </c>
      <c r="E23">
        <v>2.2000000000000002</v>
      </c>
      <c r="F23">
        <v>152.25</v>
      </c>
      <c r="G23">
        <v>20.77</v>
      </c>
      <c r="H23">
        <v>1.17</v>
      </c>
      <c r="I23">
        <v>0.51</v>
      </c>
      <c r="J23">
        <v>0.92</v>
      </c>
    </row>
    <row r="24" spans="1:10" x14ac:dyDescent="0.2">
      <c r="A24" s="1" t="s">
        <v>61</v>
      </c>
      <c r="B24" s="1" t="s">
        <v>62</v>
      </c>
      <c r="C24" s="1" t="s">
        <v>2</v>
      </c>
      <c r="D24">
        <v>15.17</v>
      </c>
      <c r="E24">
        <v>9.66</v>
      </c>
      <c r="F24">
        <v>21.36</v>
      </c>
      <c r="G24">
        <v>12.87</v>
      </c>
      <c r="H24">
        <v>11.53</v>
      </c>
      <c r="I24">
        <v>0.98</v>
      </c>
      <c r="J24">
        <v>1.05</v>
      </c>
    </row>
    <row r="25" spans="1:10" x14ac:dyDescent="0.2">
      <c r="A25" s="1" t="s">
        <v>63</v>
      </c>
      <c r="B25" s="1" t="s">
        <v>64</v>
      </c>
      <c r="C25" s="1" t="s">
        <v>2</v>
      </c>
      <c r="D25">
        <v>19.170000000000002</v>
      </c>
      <c r="E25">
        <v>6.28</v>
      </c>
      <c r="F25">
        <v>14.27</v>
      </c>
      <c r="G25">
        <v>7.72</v>
      </c>
      <c r="H25">
        <v>14.09</v>
      </c>
      <c r="I25">
        <v>1.08</v>
      </c>
      <c r="J25">
        <v>1.18</v>
      </c>
    </row>
    <row r="26" spans="1:10" x14ac:dyDescent="0.2">
      <c r="A26" s="1" t="s">
        <v>65</v>
      </c>
      <c r="B26" s="1" t="s">
        <v>66</v>
      </c>
      <c r="C26" s="1" t="s">
        <v>2</v>
      </c>
      <c r="D26">
        <v>15.79</v>
      </c>
      <c r="E26">
        <v>4.7699999999999996</v>
      </c>
      <c r="F26">
        <v>10.51</v>
      </c>
      <c r="G26">
        <v>6.13</v>
      </c>
      <c r="H26">
        <v>10.87</v>
      </c>
      <c r="I26">
        <v>1.23</v>
      </c>
      <c r="J26">
        <v>1.42</v>
      </c>
    </row>
    <row r="27" spans="1:10" x14ac:dyDescent="0.2">
      <c r="A27" s="1" t="s">
        <v>67</v>
      </c>
      <c r="B27" s="1" t="s">
        <v>68</v>
      </c>
      <c r="C27" s="1" t="s">
        <v>2</v>
      </c>
      <c r="D27">
        <v>22.09</v>
      </c>
      <c r="E27">
        <v>4.79</v>
      </c>
      <c r="F27">
        <v>21.64</v>
      </c>
      <c r="G27">
        <v>6.78</v>
      </c>
      <c r="H27">
        <v>14.82</v>
      </c>
      <c r="I27">
        <v>0.75</v>
      </c>
      <c r="J27">
        <v>0.75</v>
      </c>
    </row>
    <row r="28" spans="1:10" x14ac:dyDescent="0.2">
      <c r="A28" s="1" t="s">
        <v>69</v>
      </c>
      <c r="B28" s="1" t="s">
        <v>70</v>
      </c>
      <c r="C28" s="1" t="s">
        <v>2</v>
      </c>
      <c r="D28">
        <v>24.58</v>
      </c>
      <c r="E28">
        <v>10.43</v>
      </c>
      <c r="F28">
        <v>19.95</v>
      </c>
      <c r="G28">
        <v>13.35</v>
      </c>
      <c r="H28">
        <v>20.86</v>
      </c>
      <c r="I28">
        <v>1.59</v>
      </c>
      <c r="J28">
        <v>2.0699999999999998</v>
      </c>
    </row>
    <row r="29" spans="1:10" x14ac:dyDescent="0.2">
      <c r="A29" s="1" t="s">
        <v>71</v>
      </c>
      <c r="B29" s="1" t="s">
        <v>72</v>
      </c>
      <c r="C29" s="1" t="s">
        <v>2</v>
      </c>
      <c r="D29">
        <v>26.81</v>
      </c>
      <c r="E29">
        <v>14.05</v>
      </c>
      <c r="F29">
        <v>19.13</v>
      </c>
      <c r="G29">
        <v>17.350000000000001</v>
      </c>
      <c r="H29">
        <v>21.45</v>
      </c>
      <c r="I29">
        <v>2.04</v>
      </c>
      <c r="J29">
        <v>2.71</v>
      </c>
    </row>
    <row r="30" spans="1:10" x14ac:dyDescent="0.2">
      <c r="A30" s="1" t="s">
        <v>73</v>
      </c>
      <c r="B30" s="1" t="s">
        <v>74</v>
      </c>
      <c r="C30" s="1" t="s">
        <v>2</v>
      </c>
      <c r="D30">
        <v>26.66</v>
      </c>
      <c r="E30">
        <v>6.88</v>
      </c>
      <c r="F30">
        <v>10.44</v>
      </c>
      <c r="G30">
        <v>7.98</v>
      </c>
      <c r="H30">
        <v>18.510000000000002</v>
      </c>
      <c r="I30">
        <v>1.75</v>
      </c>
      <c r="J30">
        <v>2.48</v>
      </c>
    </row>
    <row r="31" spans="1:10" x14ac:dyDescent="0.2">
      <c r="A31" s="1" t="s">
        <v>75</v>
      </c>
      <c r="B31" s="1" t="s">
        <v>76</v>
      </c>
      <c r="C31" s="1" t="s">
        <v>2</v>
      </c>
      <c r="D31">
        <v>30.1</v>
      </c>
      <c r="E31">
        <v>3.26</v>
      </c>
      <c r="F31">
        <v>4.87</v>
      </c>
      <c r="G31">
        <v>3.85</v>
      </c>
      <c r="H31">
        <v>20.78</v>
      </c>
      <c r="I31">
        <v>0.79</v>
      </c>
      <c r="J31">
        <v>1.34</v>
      </c>
    </row>
    <row r="32" spans="1:10" x14ac:dyDescent="0.2">
      <c r="A32" s="1" t="s">
        <v>77</v>
      </c>
      <c r="B32" s="1" t="s">
        <v>78</v>
      </c>
      <c r="C32" s="1" t="s">
        <v>2</v>
      </c>
      <c r="D32">
        <v>29.63</v>
      </c>
      <c r="E32">
        <v>6.07</v>
      </c>
      <c r="F32">
        <v>10.86</v>
      </c>
      <c r="G32">
        <v>7.24</v>
      </c>
      <c r="H32">
        <v>22.99</v>
      </c>
      <c r="I32">
        <v>3.32</v>
      </c>
      <c r="J32">
        <v>4.04</v>
      </c>
    </row>
    <row r="33" spans="1:10" x14ac:dyDescent="0.2">
      <c r="A33" s="1" t="s">
        <v>79</v>
      </c>
      <c r="B33" s="1" t="s">
        <v>80</v>
      </c>
      <c r="C33" s="1" t="s">
        <v>2</v>
      </c>
      <c r="D33">
        <v>25.27</v>
      </c>
      <c r="E33">
        <v>3.17</v>
      </c>
      <c r="F33">
        <v>5.6</v>
      </c>
      <c r="G33">
        <v>3.73</v>
      </c>
      <c r="H33">
        <v>12.61</v>
      </c>
      <c r="I33">
        <v>1.1000000000000001</v>
      </c>
      <c r="J33">
        <v>1.98</v>
      </c>
    </row>
    <row r="34" spans="1:10" x14ac:dyDescent="0.2">
      <c r="A34" s="1" t="s">
        <v>81</v>
      </c>
      <c r="B34" s="1" t="s">
        <v>82</v>
      </c>
      <c r="C34" s="1" t="s">
        <v>2</v>
      </c>
      <c r="D34">
        <v>12</v>
      </c>
      <c r="E34">
        <v>-3.93</v>
      </c>
      <c r="F34">
        <v>-13.75</v>
      </c>
      <c r="G34">
        <v>-5.39</v>
      </c>
      <c r="H34">
        <v>3.93</v>
      </c>
      <c r="I34">
        <v>1.56</v>
      </c>
      <c r="J34">
        <v>2.31</v>
      </c>
    </row>
    <row r="35" spans="1:10" x14ac:dyDescent="0.2">
      <c r="A35" s="1" t="s">
        <v>83</v>
      </c>
      <c r="B35" s="1" t="s">
        <v>84</v>
      </c>
      <c r="C35" s="1" t="s">
        <v>2</v>
      </c>
      <c r="D35">
        <v>30.82</v>
      </c>
      <c r="E35">
        <v>13.04</v>
      </c>
      <c r="F35">
        <v>34.5</v>
      </c>
      <c r="G35">
        <v>22.07</v>
      </c>
      <c r="H35">
        <v>25.64</v>
      </c>
      <c r="I35">
        <v>1.59</v>
      </c>
      <c r="J35">
        <v>1.88</v>
      </c>
    </row>
    <row r="36" spans="1:10" x14ac:dyDescent="0.2">
      <c r="A36" s="1" t="s">
        <v>85</v>
      </c>
      <c r="B36" s="1" t="s">
        <v>86</v>
      </c>
      <c r="C36" s="1" t="s">
        <v>2</v>
      </c>
      <c r="D36">
        <v>18.36</v>
      </c>
      <c r="E36">
        <v>5.96</v>
      </c>
      <c r="F36">
        <v>22.15</v>
      </c>
      <c r="G36">
        <v>11.45</v>
      </c>
      <c r="H36">
        <v>15.8</v>
      </c>
      <c r="I36">
        <v>1.08</v>
      </c>
      <c r="J36">
        <v>1.33</v>
      </c>
    </row>
    <row r="37" spans="1:10" x14ac:dyDescent="0.2">
      <c r="A37" s="1" t="s">
        <v>87</v>
      </c>
      <c r="B37" s="1" t="s">
        <v>88</v>
      </c>
      <c r="C37" s="1" t="s">
        <v>2</v>
      </c>
      <c r="D37">
        <v>22.57</v>
      </c>
      <c r="E37">
        <v>7.87</v>
      </c>
      <c r="F37">
        <v>18.12</v>
      </c>
      <c r="G37">
        <v>9.8000000000000007</v>
      </c>
      <c r="H37">
        <v>18.670000000000002</v>
      </c>
      <c r="I37">
        <v>2.11</v>
      </c>
      <c r="J37">
        <v>2.78</v>
      </c>
    </row>
    <row r="38" spans="1:10" x14ac:dyDescent="0.2">
      <c r="A38" s="1" t="s">
        <v>89</v>
      </c>
      <c r="B38" s="1" t="s">
        <v>90</v>
      </c>
      <c r="C38" s="1" t="s">
        <v>2</v>
      </c>
      <c r="D38">
        <v>32.21</v>
      </c>
      <c r="E38">
        <v>1.95</v>
      </c>
      <c r="F38">
        <v>3.22</v>
      </c>
      <c r="G38">
        <v>2.2799999999999998</v>
      </c>
      <c r="H38">
        <v>18.86</v>
      </c>
      <c r="I38">
        <v>1.4</v>
      </c>
      <c r="J38">
        <v>1.68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FE1D-FDF7-7348-8A8B-18CFDC1821FF}">
  <dimension ref="A1:P53"/>
  <sheetViews>
    <sheetView workbookViewId="0">
      <selection activeCell="B28" sqref="B28"/>
    </sheetView>
  </sheetViews>
  <sheetFormatPr baseColWidth="10" defaultRowHeight="16" x14ac:dyDescent="0.2"/>
  <cols>
    <col min="1" max="1" width="6.33203125" style="2" bestFit="1" customWidth="1"/>
    <col min="2" max="2" width="29" style="2" bestFit="1" customWidth="1"/>
    <col min="3" max="3" width="10.33203125" style="2" bestFit="1" customWidth="1"/>
    <col min="4" max="4" width="7.6640625" style="2" bestFit="1" customWidth="1"/>
    <col min="5" max="5" width="7.1640625" style="2" bestFit="1" customWidth="1"/>
    <col min="6" max="6" width="6.1640625" style="2" bestFit="1" customWidth="1"/>
    <col min="7" max="7" width="14.33203125" style="2" bestFit="1" customWidth="1"/>
    <col min="8" max="8" width="9.6640625" style="2" bestFit="1" customWidth="1"/>
    <col min="9" max="10" width="6.6640625" style="2" bestFit="1" customWidth="1"/>
    <col min="11" max="11" width="6.33203125" style="2" bestFit="1" customWidth="1"/>
    <col min="12" max="12" width="7.33203125" style="2" bestFit="1" customWidth="1"/>
    <col min="13" max="13" width="7" style="2" bestFit="1" customWidth="1"/>
    <col min="14" max="15" width="12.1640625" style="2" bestFit="1" customWidth="1"/>
    <col min="16" max="16" width="13" style="2" bestFit="1" customWidth="1"/>
    <col min="17" max="16384" width="10.83203125" style="2"/>
  </cols>
  <sheetData>
    <row r="1" spans="1:16" x14ac:dyDescent="0.2">
      <c r="A1" s="2" t="s">
        <v>114</v>
      </c>
      <c r="B1" s="2" t="s">
        <v>115</v>
      </c>
      <c r="C1" s="2" t="s">
        <v>116</v>
      </c>
      <c r="D1" s="2" t="s">
        <v>117</v>
      </c>
      <c r="E1" s="2" t="s">
        <v>158</v>
      </c>
      <c r="F1" s="2" t="s">
        <v>162</v>
      </c>
      <c r="G1" s="2" t="s">
        <v>118</v>
      </c>
      <c r="H1" s="2" t="s">
        <v>119</v>
      </c>
      <c r="I1" s="2" t="s">
        <v>103</v>
      </c>
      <c r="J1" s="2" t="s">
        <v>120</v>
      </c>
      <c r="K1" s="2" t="s">
        <v>121</v>
      </c>
      <c r="L1" s="2" t="s">
        <v>122</v>
      </c>
      <c r="M1" s="2" t="s">
        <v>159</v>
      </c>
      <c r="N1" s="2" t="s">
        <v>225</v>
      </c>
      <c r="O1" s="2" t="s">
        <v>226</v>
      </c>
      <c r="P1" s="2" t="s">
        <v>227</v>
      </c>
    </row>
    <row r="2" spans="1:16" x14ac:dyDescent="0.2">
      <c r="A2" s="3" t="s">
        <v>213</v>
      </c>
      <c r="B2" s="3" t="s">
        <v>214</v>
      </c>
      <c r="C2" s="3" t="s">
        <v>125</v>
      </c>
      <c r="D2" s="3" t="s">
        <v>126</v>
      </c>
      <c r="E2" s="3">
        <v>25.4</v>
      </c>
      <c r="F2" s="3">
        <v>32.78</v>
      </c>
      <c r="G2" s="3">
        <v>34.15</v>
      </c>
      <c r="H2" s="3">
        <v>18.559999999999999</v>
      </c>
      <c r="I2" s="4">
        <v>0.1043</v>
      </c>
      <c r="J2" s="4">
        <v>0.1295</v>
      </c>
      <c r="K2" s="3">
        <v>2.0699999999999998</v>
      </c>
      <c r="L2" s="3">
        <v>1.59</v>
      </c>
      <c r="M2" s="4">
        <v>0.22040000000000001</v>
      </c>
      <c r="N2" s="2">
        <f>1/F2</f>
        <v>3.0506406345332519E-2</v>
      </c>
      <c r="O2" s="2">
        <f>1/E2</f>
        <v>3.937007874015748E-2</v>
      </c>
      <c r="P2" s="2">
        <f>1/H2</f>
        <v>5.387931034482759E-2</v>
      </c>
    </row>
    <row r="3" spans="1:16" x14ac:dyDescent="0.2">
      <c r="A3" s="3" t="s">
        <v>191</v>
      </c>
      <c r="B3" s="3" t="s">
        <v>192</v>
      </c>
      <c r="C3" s="3" t="s">
        <v>125</v>
      </c>
      <c r="D3" s="3" t="s">
        <v>126</v>
      </c>
      <c r="E3" s="3">
        <v>83.54</v>
      </c>
      <c r="F3" s="3">
        <v>19.579999999999998</v>
      </c>
      <c r="G3" s="3">
        <v>411.89</v>
      </c>
      <c r="H3" s="3">
        <v>14.57</v>
      </c>
      <c r="I3" s="4">
        <v>3.1099999999999999E-2</v>
      </c>
      <c r="J3" s="4">
        <v>7.4300000000000005E-2</v>
      </c>
      <c r="K3" s="3">
        <v>0.67</v>
      </c>
      <c r="L3" s="3">
        <v>0.56000000000000005</v>
      </c>
      <c r="M3" s="4">
        <v>0.3281</v>
      </c>
      <c r="N3" s="2">
        <f t="shared" ref="N3:N45" si="0">1/F3</f>
        <v>5.1072522982635343E-2</v>
      </c>
      <c r="O3" s="2">
        <f t="shared" ref="O3:O45" si="1">1/E3</f>
        <v>1.1970313622216901E-2</v>
      </c>
      <c r="P3" s="2">
        <f t="shared" ref="P3:P45" si="2">1/H3</f>
        <v>6.8634179821551136E-2</v>
      </c>
    </row>
    <row r="4" spans="1:16" x14ac:dyDescent="0.2">
      <c r="A4" s="3" t="s">
        <v>195</v>
      </c>
      <c r="B4" s="3" t="s">
        <v>196</v>
      </c>
      <c r="C4" s="3" t="s">
        <v>125</v>
      </c>
      <c r="D4" s="3" t="s">
        <v>126</v>
      </c>
      <c r="E4" s="3">
        <v>26.04</v>
      </c>
      <c r="F4" s="3">
        <v>22.01</v>
      </c>
      <c r="G4" s="3">
        <v>168.63</v>
      </c>
      <c r="H4" s="3">
        <v>14.78</v>
      </c>
      <c r="I4" s="4">
        <v>7.7299999999999994E-2</v>
      </c>
      <c r="J4" s="4">
        <v>9.9699999999999997E-2</v>
      </c>
      <c r="K4" s="3">
        <v>1.58</v>
      </c>
      <c r="L4" s="3">
        <v>1.18</v>
      </c>
      <c r="M4" s="4">
        <v>0.18720000000000001</v>
      </c>
      <c r="N4" s="2">
        <f t="shared" si="0"/>
        <v>4.5433893684688774E-2</v>
      </c>
      <c r="O4" s="2">
        <f t="shared" si="1"/>
        <v>3.840245775729647E-2</v>
      </c>
      <c r="P4" s="2">
        <f t="shared" si="2"/>
        <v>6.7658998646820026E-2</v>
      </c>
    </row>
    <row r="5" spans="1:16" x14ac:dyDescent="0.2">
      <c r="A5" s="3" t="s">
        <v>206</v>
      </c>
      <c r="B5" s="3" t="s">
        <v>207</v>
      </c>
      <c r="C5" s="3" t="s">
        <v>125</v>
      </c>
      <c r="D5" s="3" t="s">
        <v>126</v>
      </c>
      <c r="E5" s="3">
        <v>31.1</v>
      </c>
      <c r="F5" s="3">
        <v>25.68</v>
      </c>
      <c r="G5" s="3">
        <v>11.62</v>
      </c>
      <c r="H5" s="3">
        <v>13.65</v>
      </c>
      <c r="I5" s="4">
        <v>6.59E-2</v>
      </c>
      <c r="J5" s="4">
        <v>9.9299999999999999E-2</v>
      </c>
      <c r="K5" s="3">
        <v>1.36</v>
      </c>
      <c r="L5" s="3">
        <v>1.24</v>
      </c>
      <c r="M5" s="4">
        <v>0.16889999999999999</v>
      </c>
      <c r="N5" s="2">
        <f t="shared" si="0"/>
        <v>3.8940809968847349E-2</v>
      </c>
      <c r="O5" s="2">
        <f t="shared" si="1"/>
        <v>3.215434083601286E-2</v>
      </c>
      <c r="P5" s="2">
        <f t="shared" si="2"/>
        <v>7.3260073260073263E-2</v>
      </c>
    </row>
    <row r="6" spans="1:16" x14ac:dyDescent="0.2">
      <c r="A6" s="3" t="s">
        <v>197</v>
      </c>
      <c r="B6" s="3" t="s">
        <v>208</v>
      </c>
      <c r="C6" s="3" t="s">
        <v>125</v>
      </c>
      <c r="D6" s="3" t="s">
        <v>126</v>
      </c>
      <c r="E6" s="3">
        <v>23.82</v>
      </c>
      <c r="F6" s="3">
        <v>22.59</v>
      </c>
      <c r="G6" s="3">
        <v>229.28</v>
      </c>
      <c r="H6" s="3">
        <v>14.86</v>
      </c>
      <c r="I6" s="4">
        <v>8.4500000000000006E-2</v>
      </c>
      <c r="J6" s="4">
        <v>0.12989999999999999</v>
      </c>
      <c r="K6" s="3">
        <v>1.1399999999999999</v>
      </c>
      <c r="L6" s="3">
        <v>0.9</v>
      </c>
      <c r="M6" s="4">
        <v>0.27929999999999999</v>
      </c>
      <c r="N6" s="2">
        <f t="shared" si="0"/>
        <v>4.4267374944665781E-2</v>
      </c>
      <c r="O6" s="2">
        <f t="shared" si="1"/>
        <v>4.1981528127623846E-2</v>
      </c>
      <c r="P6" s="2">
        <f t="shared" si="2"/>
        <v>6.7294751009421269E-2</v>
      </c>
    </row>
    <row r="7" spans="1:16" x14ac:dyDescent="0.2">
      <c r="A7" s="2" t="s">
        <v>177</v>
      </c>
      <c r="B7" s="2" t="s">
        <v>178</v>
      </c>
      <c r="C7" s="2" t="s">
        <v>125</v>
      </c>
      <c r="D7" s="2" t="s">
        <v>126</v>
      </c>
      <c r="E7" s="2">
        <v>24.24</v>
      </c>
      <c r="F7" s="2">
        <v>16.059999999999999</v>
      </c>
      <c r="G7" s="2">
        <v>60.77</v>
      </c>
      <c r="H7" s="5">
        <v>10.93</v>
      </c>
      <c r="I7" s="5">
        <v>3.2099999999999997E-2</v>
      </c>
      <c r="J7" s="5">
        <v>4.1599999999999998E-2</v>
      </c>
      <c r="K7" s="2">
        <v>1.05</v>
      </c>
      <c r="L7" s="6">
        <v>0.57999999999999996</v>
      </c>
      <c r="M7" s="5">
        <v>0.1477</v>
      </c>
      <c r="N7" s="2">
        <f t="shared" si="0"/>
        <v>6.2266500622665012E-2</v>
      </c>
      <c r="O7" s="2">
        <f t="shared" si="1"/>
        <v>4.1254125412541254E-2</v>
      </c>
      <c r="P7" s="2">
        <f t="shared" si="2"/>
        <v>9.1491308325709064E-2</v>
      </c>
    </row>
    <row r="8" spans="1:16" x14ac:dyDescent="0.2">
      <c r="A8" s="2" t="s">
        <v>171</v>
      </c>
      <c r="B8" s="2" t="s">
        <v>172</v>
      </c>
      <c r="C8" s="2" t="s">
        <v>125</v>
      </c>
      <c r="D8" s="2" t="s">
        <v>126</v>
      </c>
      <c r="E8" s="2">
        <v>20.73</v>
      </c>
      <c r="F8" s="2">
        <v>13.06</v>
      </c>
      <c r="G8" s="2">
        <v>29.63</v>
      </c>
      <c r="H8" s="5">
        <v>9.26</v>
      </c>
      <c r="I8" s="5">
        <v>4.4999999999999998E-2</v>
      </c>
      <c r="J8" s="5">
        <v>5.21E-2</v>
      </c>
      <c r="K8" s="2">
        <v>2.68</v>
      </c>
      <c r="L8" s="6">
        <v>2.0299999999999998</v>
      </c>
      <c r="M8" s="5">
        <v>0.25390000000000001</v>
      </c>
      <c r="N8" s="2">
        <f t="shared" si="0"/>
        <v>7.6569678407350683E-2</v>
      </c>
      <c r="O8" s="2">
        <f t="shared" si="1"/>
        <v>4.8239266763145196E-2</v>
      </c>
      <c r="P8" s="2">
        <f t="shared" si="2"/>
        <v>0.10799136069114471</v>
      </c>
    </row>
    <row r="9" spans="1:16" x14ac:dyDescent="0.2">
      <c r="A9" s="2" t="s">
        <v>167</v>
      </c>
      <c r="B9" s="2" t="s">
        <v>168</v>
      </c>
      <c r="C9" s="2" t="s">
        <v>125</v>
      </c>
      <c r="D9" s="2" t="s">
        <v>126</v>
      </c>
      <c r="E9" s="2">
        <v>16.760000000000002</v>
      </c>
      <c r="F9" s="2">
        <v>9.2100000000000009</v>
      </c>
      <c r="G9" s="2">
        <v>154.85</v>
      </c>
      <c r="H9" s="5">
        <v>8.0500000000000007</v>
      </c>
      <c r="I9" s="5">
        <v>7.7200000000000005E-2</v>
      </c>
      <c r="J9" s="5">
        <v>0.11169999999999999</v>
      </c>
      <c r="K9" s="2">
        <v>1.26</v>
      </c>
      <c r="L9" s="6">
        <v>1.1399999999999999</v>
      </c>
      <c r="M9" s="5">
        <v>0.31359999999999999</v>
      </c>
      <c r="N9" s="2">
        <f t="shared" si="0"/>
        <v>0.10857763300760043</v>
      </c>
      <c r="O9" s="2">
        <f t="shared" si="1"/>
        <v>5.9665871121718374E-2</v>
      </c>
      <c r="P9" s="2">
        <f t="shared" si="2"/>
        <v>0.12422360248447203</v>
      </c>
    </row>
    <row r="10" spans="1:16" x14ac:dyDescent="0.2">
      <c r="A10" s="3" t="s">
        <v>200</v>
      </c>
      <c r="B10" s="3" t="s">
        <v>201</v>
      </c>
      <c r="C10" s="3" t="s">
        <v>125</v>
      </c>
      <c r="D10" s="3" t="s">
        <v>126</v>
      </c>
      <c r="E10" s="3">
        <v>24.45</v>
      </c>
      <c r="F10" s="3">
        <v>23.69</v>
      </c>
      <c r="G10" s="3">
        <v>96.84</v>
      </c>
      <c r="H10" s="3">
        <v>17.8</v>
      </c>
      <c r="I10" s="4">
        <v>6.9800000000000001E-2</v>
      </c>
      <c r="J10" s="4">
        <v>9.9500000000000005E-2</v>
      </c>
      <c r="K10" s="3">
        <v>1.62</v>
      </c>
      <c r="L10" s="3">
        <v>1.08</v>
      </c>
      <c r="M10" s="4">
        <v>0.20599999999999999</v>
      </c>
      <c r="N10" s="2">
        <f t="shared" si="0"/>
        <v>4.2211903756859431E-2</v>
      </c>
      <c r="O10" s="2">
        <f t="shared" si="1"/>
        <v>4.0899795501022497E-2</v>
      </c>
      <c r="P10" s="2">
        <f t="shared" si="2"/>
        <v>5.6179775280898875E-2</v>
      </c>
    </row>
    <row r="11" spans="1:16" x14ac:dyDescent="0.2">
      <c r="A11" s="2" t="s">
        <v>165</v>
      </c>
      <c r="B11" s="2" t="s">
        <v>166</v>
      </c>
      <c r="C11" s="2" t="s">
        <v>125</v>
      </c>
      <c r="D11" s="2" t="s">
        <v>126</v>
      </c>
      <c r="E11" s="2">
        <v>29.56</v>
      </c>
      <c r="F11" s="2">
        <v>8.7799999999999994</v>
      </c>
      <c r="G11" s="2">
        <v>54.77</v>
      </c>
      <c r="H11" s="5">
        <v>14</v>
      </c>
      <c r="I11" s="5">
        <v>3.1600000000000003E-2</v>
      </c>
      <c r="J11" s="5">
        <v>0.30420000000000003</v>
      </c>
      <c r="K11" s="2">
        <v>0.91</v>
      </c>
      <c r="L11" s="6">
        <v>0.44</v>
      </c>
      <c r="M11" s="5">
        <v>1.24E-2</v>
      </c>
      <c r="N11" s="2">
        <f t="shared" si="0"/>
        <v>0.11389521640091117</v>
      </c>
      <c r="O11" s="2">
        <f t="shared" si="1"/>
        <v>3.3829499323410013E-2</v>
      </c>
      <c r="P11" s="2">
        <f t="shared" si="2"/>
        <v>7.1428571428571425E-2</v>
      </c>
    </row>
    <row r="12" spans="1:16" x14ac:dyDescent="0.2">
      <c r="A12" s="3" t="s">
        <v>204</v>
      </c>
      <c r="B12" s="3" t="s">
        <v>205</v>
      </c>
      <c r="C12" s="3" t="s">
        <v>125</v>
      </c>
      <c r="D12" s="3" t="s">
        <v>126</v>
      </c>
      <c r="E12" s="3">
        <v>31.28</v>
      </c>
      <c r="F12" s="3">
        <v>25.1</v>
      </c>
      <c r="G12" s="3">
        <v>14.71</v>
      </c>
      <c r="H12" s="3">
        <v>13.42</v>
      </c>
      <c r="I12" s="4">
        <v>3.2599999999999997E-2</v>
      </c>
      <c r="J12" s="4">
        <v>3.9199999999999999E-2</v>
      </c>
      <c r="K12" s="3">
        <v>1.34</v>
      </c>
      <c r="L12" s="3">
        <v>0.79</v>
      </c>
      <c r="M12" s="4">
        <v>0.1719</v>
      </c>
      <c r="N12" s="2">
        <f t="shared" si="0"/>
        <v>3.9840637450199202E-2</v>
      </c>
      <c r="O12" s="2">
        <f t="shared" si="1"/>
        <v>3.1969309462915603E-2</v>
      </c>
      <c r="P12" s="2">
        <f t="shared" si="2"/>
        <v>7.4515648286140088E-2</v>
      </c>
    </row>
    <row r="13" spans="1:16" x14ac:dyDescent="0.2">
      <c r="A13" s="3" t="s">
        <v>183</v>
      </c>
      <c r="B13" s="3" t="s">
        <v>184</v>
      </c>
      <c r="C13" s="3" t="s">
        <v>125</v>
      </c>
      <c r="D13" s="3" t="s">
        <v>126</v>
      </c>
      <c r="E13" s="3">
        <v>37.56</v>
      </c>
      <c r="F13" s="3">
        <v>16.84</v>
      </c>
      <c r="G13" s="3">
        <v>67.040000000000006</v>
      </c>
      <c r="H13" s="3">
        <v>13.68</v>
      </c>
      <c r="I13" s="4">
        <v>2.1999999999999999E-2</v>
      </c>
      <c r="J13" s="4">
        <v>0.17130000000000001</v>
      </c>
      <c r="K13" s="3">
        <v>0.92</v>
      </c>
      <c r="L13" s="3">
        <v>0.51</v>
      </c>
      <c r="M13" s="4">
        <v>1.18E-2</v>
      </c>
      <c r="N13" s="2">
        <f t="shared" si="0"/>
        <v>5.938242280285036E-2</v>
      </c>
      <c r="O13" s="2">
        <f t="shared" si="1"/>
        <v>2.6624068157614481E-2</v>
      </c>
      <c r="P13" s="2">
        <f t="shared" si="2"/>
        <v>7.3099415204678359E-2</v>
      </c>
    </row>
    <row r="14" spans="1:16" x14ac:dyDescent="0.2">
      <c r="A14" s="2" t="s">
        <v>173</v>
      </c>
      <c r="B14" s="2" t="s">
        <v>174</v>
      </c>
      <c r="C14" s="2" t="s">
        <v>125</v>
      </c>
      <c r="D14" s="2" t="s">
        <v>126</v>
      </c>
      <c r="E14" s="2">
        <v>58.5</v>
      </c>
      <c r="F14" s="2">
        <v>13.29</v>
      </c>
      <c r="G14" s="2">
        <v>173.19</v>
      </c>
      <c r="H14" s="5">
        <v>10.029999999999999</v>
      </c>
      <c r="I14" s="5">
        <v>6.7999999999999996E-3</v>
      </c>
      <c r="J14" s="5">
        <v>1.18E-2</v>
      </c>
      <c r="K14" s="2">
        <v>0.84</v>
      </c>
      <c r="L14" s="6">
        <v>0.63</v>
      </c>
      <c r="M14" s="5">
        <v>3.15E-2</v>
      </c>
      <c r="N14" s="2">
        <f t="shared" si="0"/>
        <v>7.5244544770504143E-2</v>
      </c>
      <c r="O14" s="2">
        <f t="shared" si="1"/>
        <v>1.7094017094017096E-2</v>
      </c>
      <c r="P14" s="2">
        <f t="shared" si="2"/>
        <v>9.9700897308075784E-2</v>
      </c>
    </row>
    <row r="15" spans="1:16" x14ac:dyDescent="0.2">
      <c r="A15" s="2" t="s">
        <v>179</v>
      </c>
      <c r="B15" s="2" t="s">
        <v>180</v>
      </c>
      <c r="C15" s="2" t="s">
        <v>125</v>
      </c>
      <c r="D15" s="2" t="s">
        <v>126</v>
      </c>
      <c r="E15" s="2">
        <v>21.51</v>
      </c>
      <c r="F15" s="2">
        <v>16.28</v>
      </c>
      <c r="G15" s="2">
        <v>27.98</v>
      </c>
      <c r="H15" s="5">
        <v>12.6</v>
      </c>
      <c r="I15" s="5">
        <v>6.2799999999999995E-2</v>
      </c>
      <c r="J15" s="5">
        <v>7.7899999999999997E-2</v>
      </c>
      <c r="K15" s="2">
        <v>1.18</v>
      </c>
      <c r="L15" s="6">
        <v>1.08</v>
      </c>
      <c r="M15" s="5">
        <v>0.14580000000000001</v>
      </c>
      <c r="N15" s="2">
        <f t="shared" si="0"/>
        <v>6.142506142506142E-2</v>
      </c>
      <c r="O15" s="2">
        <f t="shared" si="1"/>
        <v>4.6490004649000459E-2</v>
      </c>
      <c r="P15" s="2">
        <f t="shared" si="2"/>
        <v>7.9365079365079361E-2</v>
      </c>
    </row>
    <row r="16" spans="1:16" x14ac:dyDescent="0.2">
      <c r="A16" s="3" t="s">
        <v>202</v>
      </c>
      <c r="B16" s="3" t="s">
        <v>203</v>
      </c>
      <c r="C16" s="3" t="s">
        <v>125</v>
      </c>
      <c r="D16" s="3" t="s">
        <v>126</v>
      </c>
      <c r="E16" s="3">
        <v>34.68</v>
      </c>
      <c r="F16" s="3">
        <v>24</v>
      </c>
      <c r="G16" s="3">
        <v>140.97999999999999</v>
      </c>
      <c r="H16" s="3">
        <v>18.059999999999999</v>
      </c>
      <c r="I16" s="4">
        <v>4.5199999999999997E-2</v>
      </c>
      <c r="J16" s="4">
        <v>5.2299999999999999E-2</v>
      </c>
      <c r="K16" s="3">
        <v>1.87</v>
      </c>
      <c r="L16" s="3">
        <v>1.52</v>
      </c>
      <c r="M16" s="4">
        <v>0.21490000000000001</v>
      </c>
      <c r="N16" s="2">
        <f t="shared" si="0"/>
        <v>4.1666666666666664E-2</v>
      </c>
      <c r="O16" s="2">
        <f t="shared" si="1"/>
        <v>2.8835063437139562E-2</v>
      </c>
      <c r="P16" s="2">
        <f t="shared" si="2"/>
        <v>5.5370985603543747E-2</v>
      </c>
    </row>
    <row r="17" spans="1:16" x14ac:dyDescent="0.2">
      <c r="A17" s="2" t="s">
        <v>163</v>
      </c>
      <c r="B17" s="2" t="s">
        <v>164</v>
      </c>
      <c r="C17" s="2" t="s">
        <v>125</v>
      </c>
      <c r="D17" s="2" t="s">
        <v>126</v>
      </c>
      <c r="E17" s="2">
        <v>15.69</v>
      </c>
      <c r="F17" s="2">
        <v>7.63</v>
      </c>
      <c r="G17" s="2">
        <v>24.12</v>
      </c>
      <c r="H17" s="5">
        <v>8.85</v>
      </c>
      <c r="I17" s="5">
        <v>0.04</v>
      </c>
      <c r="J17" s="5">
        <v>6.1800000000000001E-2</v>
      </c>
      <c r="K17" s="2">
        <v>1.29</v>
      </c>
      <c r="L17" s="6">
        <v>1.24</v>
      </c>
      <c r="M17" s="5">
        <v>0.1474</v>
      </c>
      <c r="N17" s="2">
        <f t="shared" si="0"/>
        <v>0.13106159895150721</v>
      </c>
      <c r="O17" s="2">
        <f t="shared" si="1"/>
        <v>6.3734862970044617E-2</v>
      </c>
      <c r="P17" s="2">
        <f t="shared" si="2"/>
        <v>0.11299435028248588</v>
      </c>
    </row>
    <row r="18" spans="1:16" x14ac:dyDescent="0.2">
      <c r="A18" s="3" t="s">
        <v>123</v>
      </c>
      <c r="B18" s="3" t="s">
        <v>124</v>
      </c>
      <c r="C18" s="3" t="s">
        <v>125</v>
      </c>
      <c r="D18" s="3" t="s">
        <v>126</v>
      </c>
      <c r="E18" s="3">
        <v>28.45</v>
      </c>
      <c r="F18" s="3">
        <v>21.33</v>
      </c>
      <c r="G18" s="3">
        <v>22.37</v>
      </c>
      <c r="H18" s="3">
        <v>19.22</v>
      </c>
      <c r="I18" s="4">
        <v>0.13039999999999999</v>
      </c>
      <c r="J18" s="4">
        <v>0.20330000000000001</v>
      </c>
      <c r="K18" s="3">
        <v>1.88</v>
      </c>
      <c r="L18" s="3">
        <v>1.59</v>
      </c>
      <c r="M18" s="4">
        <v>0.1956</v>
      </c>
      <c r="N18" s="2">
        <f t="shared" si="0"/>
        <v>4.6882325363338022E-2</v>
      </c>
      <c r="O18" s="2">
        <f t="shared" si="1"/>
        <v>3.5149384885764502E-2</v>
      </c>
      <c r="P18" s="2">
        <f t="shared" si="2"/>
        <v>5.2029136316337155E-2</v>
      </c>
    </row>
    <row r="19" spans="1:16" x14ac:dyDescent="0.2">
      <c r="A19" s="3" t="s">
        <v>127</v>
      </c>
      <c r="B19" s="3" t="s">
        <v>128</v>
      </c>
      <c r="C19" s="3" t="s">
        <v>125</v>
      </c>
      <c r="D19" s="3" t="s">
        <v>126</v>
      </c>
      <c r="E19" s="3">
        <v>44.54</v>
      </c>
      <c r="F19" s="3">
        <v>35.4</v>
      </c>
      <c r="G19" s="3">
        <v>45.46</v>
      </c>
      <c r="H19" s="3">
        <v>25.44</v>
      </c>
      <c r="I19" s="4">
        <v>7.9299999999999995E-2</v>
      </c>
      <c r="J19" s="4">
        <v>9.7600000000000006E-2</v>
      </c>
      <c r="K19" s="3">
        <v>3.72</v>
      </c>
      <c r="L19" s="3">
        <v>3.09</v>
      </c>
      <c r="M19" s="4">
        <v>0.27689999999999998</v>
      </c>
      <c r="N19" s="2">
        <f t="shared" si="0"/>
        <v>2.8248587570621469E-2</v>
      </c>
      <c r="O19" s="2">
        <f t="shared" si="1"/>
        <v>2.2451728783116302E-2</v>
      </c>
      <c r="P19" s="2">
        <f t="shared" si="2"/>
        <v>3.9308176100628929E-2</v>
      </c>
    </row>
    <row r="20" spans="1:16" x14ac:dyDescent="0.2">
      <c r="A20" s="3" t="s">
        <v>129</v>
      </c>
      <c r="B20" s="3" t="s">
        <v>130</v>
      </c>
      <c r="C20" s="3" t="s">
        <v>125</v>
      </c>
      <c r="D20" s="3" t="s">
        <v>126</v>
      </c>
      <c r="E20" s="3">
        <v>15.1</v>
      </c>
      <c r="F20" s="3">
        <v>20.86</v>
      </c>
      <c r="G20" s="3">
        <v>37.56</v>
      </c>
      <c r="H20" s="3">
        <v>10.82</v>
      </c>
      <c r="I20" s="4">
        <v>5.96E-2</v>
      </c>
      <c r="J20" s="4">
        <v>0.1032</v>
      </c>
      <c r="K20" s="3">
        <v>1.33</v>
      </c>
      <c r="L20" s="3">
        <v>1.08</v>
      </c>
      <c r="M20" s="4">
        <v>0.14030000000000001</v>
      </c>
      <c r="N20" s="2">
        <f t="shared" si="0"/>
        <v>4.793863854266539E-2</v>
      </c>
      <c r="O20" s="2">
        <f t="shared" si="1"/>
        <v>6.6225165562913912E-2</v>
      </c>
      <c r="P20" s="2">
        <f t="shared" si="2"/>
        <v>9.2421441774491686E-2</v>
      </c>
    </row>
    <row r="21" spans="1:16" x14ac:dyDescent="0.2">
      <c r="A21" s="3" t="s">
        <v>131</v>
      </c>
      <c r="B21" s="3" t="s">
        <v>132</v>
      </c>
      <c r="C21" s="3" t="s">
        <v>125</v>
      </c>
      <c r="D21" s="3" t="s">
        <v>126</v>
      </c>
      <c r="E21" s="3">
        <v>19.02</v>
      </c>
      <c r="F21" s="3">
        <v>16.93</v>
      </c>
      <c r="G21" s="3">
        <v>175.94</v>
      </c>
      <c r="H21" s="3">
        <v>12.08</v>
      </c>
      <c r="I21" s="4">
        <v>0.14419999999999999</v>
      </c>
      <c r="J21" s="4">
        <v>0.18770000000000001</v>
      </c>
      <c r="K21" s="3">
        <v>1.55</v>
      </c>
      <c r="L21" s="3">
        <v>1.4</v>
      </c>
      <c r="M21" s="4">
        <v>0.40150000000000002</v>
      </c>
      <c r="N21" s="2">
        <f t="shared" si="0"/>
        <v>5.9066745422327233E-2</v>
      </c>
      <c r="O21" s="2">
        <f t="shared" si="1"/>
        <v>5.2576235541535225E-2</v>
      </c>
      <c r="P21" s="2">
        <f t="shared" si="2"/>
        <v>8.2781456953642391E-2</v>
      </c>
    </row>
    <row r="22" spans="1:16" x14ac:dyDescent="0.2">
      <c r="A22" s="2" t="s">
        <v>133</v>
      </c>
      <c r="B22" s="2" t="s">
        <v>134</v>
      </c>
      <c r="C22" s="2" t="s">
        <v>125</v>
      </c>
      <c r="D22" s="2" t="s">
        <v>126</v>
      </c>
      <c r="E22" s="2">
        <v>14.83</v>
      </c>
      <c r="F22" s="2">
        <v>12.17</v>
      </c>
      <c r="G22" s="2">
        <v>148.66999999999999</v>
      </c>
      <c r="H22" s="5">
        <v>9.5500000000000007</v>
      </c>
      <c r="I22" s="5">
        <v>0.11210000000000001</v>
      </c>
      <c r="J22" s="5">
        <v>0.19409999999999999</v>
      </c>
      <c r="K22" s="2">
        <v>0.83</v>
      </c>
      <c r="L22" s="6">
        <v>0.75</v>
      </c>
      <c r="M22" s="5">
        <v>0.15670000000000001</v>
      </c>
      <c r="N22" s="2">
        <f t="shared" si="0"/>
        <v>8.2169268693508629E-2</v>
      </c>
      <c r="O22" s="2">
        <f t="shared" si="1"/>
        <v>6.7430883344571813E-2</v>
      </c>
      <c r="P22" s="2">
        <f t="shared" si="2"/>
        <v>0.10471204188481674</v>
      </c>
    </row>
    <row r="23" spans="1:16" x14ac:dyDescent="0.2">
      <c r="A23" s="2" t="s">
        <v>135</v>
      </c>
      <c r="B23" s="2" t="s">
        <v>136</v>
      </c>
      <c r="C23" s="2" t="s">
        <v>125</v>
      </c>
      <c r="D23" s="2" t="s">
        <v>126</v>
      </c>
      <c r="E23" s="2">
        <v>23.18</v>
      </c>
      <c r="F23" s="2">
        <v>15.18</v>
      </c>
      <c r="G23" s="2">
        <v>13.53</v>
      </c>
      <c r="H23" s="5">
        <v>12.27</v>
      </c>
      <c r="I23" s="5">
        <v>3.7100000000000001E-2</v>
      </c>
      <c r="J23" s="5">
        <v>6.8500000000000005E-2</v>
      </c>
      <c r="K23" s="2">
        <v>1.38</v>
      </c>
      <c r="L23" s="6">
        <v>0.76</v>
      </c>
      <c r="M23" s="5">
        <v>0.06</v>
      </c>
      <c r="N23" s="2">
        <f t="shared" si="0"/>
        <v>6.5876152832674575E-2</v>
      </c>
      <c r="O23" s="2">
        <f t="shared" si="1"/>
        <v>4.3140638481449528E-2</v>
      </c>
      <c r="P23" s="2">
        <f t="shared" si="2"/>
        <v>8.1499592502037491E-2</v>
      </c>
    </row>
    <row r="24" spans="1:16" x14ac:dyDescent="0.2">
      <c r="A24" s="3" t="s">
        <v>137</v>
      </c>
      <c r="B24" s="3" t="s">
        <v>138</v>
      </c>
      <c r="C24" s="3" t="s">
        <v>125</v>
      </c>
      <c r="D24" s="3" t="s">
        <v>126</v>
      </c>
      <c r="E24" s="3">
        <v>43.62</v>
      </c>
      <c r="F24" s="3">
        <v>43.02</v>
      </c>
      <c r="G24" s="3">
        <v>46.11</v>
      </c>
      <c r="H24" s="3">
        <v>30.52</v>
      </c>
      <c r="I24" s="4">
        <v>0.31890000000000002</v>
      </c>
      <c r="J24" s="4">
        <v>0.50900000000000001</v>
      </c>
      <c r="K24" s="3">
        <v>1.17</v>
      </c>
      <c r="L24" s="3">
        <v>0.84</v>
      </c>
      <c r="M24" s="4">
        <v>0.31740000000000002</v>
      </c>
      <c r="N24" s="2">
        <f t="shared" si="0"/>
        <v>2.3245002324500229E-2</v>
      </c>
      <c r="O24" s="2">
        <f t="shared" si="1"/>
        <v>2.2925263640531868E-2</v>
      </c>
      <c r="P24" s="2">
        <f t="shared" si="2"/>
        <v>3.2765399737876802E-2</v>
      </c>
    </row>
    <row r="25" spans="1:16" x14ac:dyDescent="0.2">
      <c r="A25" s="2" t="s">
        <v>139</v>
      </c>
      <c r="B25" s="2" t="s">
        <v>140</v>
      </c>
      <c r="C25" s="2" t="s">
        <v>125</v>
      </c>
      <c r="D25" s="2" t="s">
        <v>126</v>
      </c>
      <c r="E25" s="2">
        <v>14.86</v>
      </c>
      <c r="F25" s="2">
        <v>13.98</v>
      </c>
      <c r="G25" s="2">
        <v>15.41</v>
      </c>
      <c r="H25" s="5">
        <v>10.73</v>
      </c>
      <c r="I25" s="5">
        <v>0.20660000000000001</v>
      </c>
      <c r="J25" s="5">
        <v>0.24690000000000001</v>
      </c>
      <c r="K25" s="2">
        <v>3.32</v>
      </c>
      <c r="L25" s="6">
        <v>3.25</v>
      </c>
      <c r="M25" s="5">
        <v>0.26119999999999999</v>
      </c>
      <c r="N25" s="2">
        <f t="shared" si="0"/>
        <v>7.1530758226037189E-2</v>
      </c>
      <c r="O25" s="2">
        <f t="shared" si="1"/>
        <v>6.7294751009421269E-2</v>
      </c>
      <c r="P25" s="2">
        <f t="shared" si="2"/>
        <v>9.3196644920782848E-2</v>
      </c>
    </row>
    <row r="26" spans="1:16" x14ac:dyDescent="0.2">
      <c r="A26" s="2" t="s">
        <v>141</v>
      </c>
      <c r="B26" s="2" t="s">
        <v>142</v>
      </c>
      <c r="C26" s="2" t="s">
        <v>125</v>
      </c>
      <c r="D26" s="2" t="s">
        <v>126</v>
      </c>
      <c r="E26" s="2">
        <v>20.32</v>
      </c>
      <c r="F26" s="2">
        <v>13.21</v>
      </c>
      <c r="G26" s="2">
        <v>41.35</v>
      </c>
      <c r="H26" s="5">
        <v>12.07</v>
      </c>
      <c r="I26" s="5">
        <v>4.7899999999999998E-2</v>
      </c>
      <c r="J26" s="5">
        <v>6.5299999999999997E-2</v>
      </c>
      <c r="K26" s="2">
        <v>0.75</v>
      </c>
      <c r="L26" s="6">
        <v>0.75</v>
      </c>
      <c r="M26" s="5">
        <v>0.1399</v>
      </c>
      <c r="N26" s="2">
        <f t="shared" si="0"/>
        <v>7.5700227100681292E-2</v>
      </c>
      <c r="O26" s="2">
        <f t="shared" si="1"/>
        <v>4.9212598425196846E-2</v>
      </c>
      <c r="P26" s="2">
        <f t="shared" si="2"/>
        <v>8.2850041425020712E-2</v>
      </c>
    </row>
    <row r="27" spans="1:16" x14ac:dyDescent="0.2">
      <c r="A27" s="3" t="s">
        <v>143</v>
      </c>
      <c r="B27" s="3" t="s">
        <v>144</v>
      </c>
      <c r="C27" s="3" t="s">
        <v>125</v>
      </c>
      <c r="D27" s="3" t="s">
        <v>126</v>
      </c>
      <c r="E27" s="3">
        <v>56.4</v>
      </c>
      <c r="F27" s="3">
        <v>58.09</v>
      </c>
      <c r="G27" s="3">
        <v>160.22999999999999</v>
      </c>
      <c r="H27" s="3">
        <v>41.13</v>
      </c>
      <c r="I27" s="4">
        <v>0.1515</v>
      </c>
      <c r="J27" s="4">
        <v>0.17050000000000001</v>
      </c>
      <c r="K27" s="3">
        <v>4.6100000000000003</v>
      </c>
      <c r="L27" s="3">
        <v>3.59</v>
      </c>
      <c r="M27" s="4">
        <v>0.30449999999999999</v>
      </c>
      <c r="N27" s="2">
        <f t="shared" si="0"/>
        <v>1.7214666896195559E-2</v>
      </c>
      <c r="O27" s="2">
        <f t="shared" si="1"/>
        <v>1.7730496453900711E-2</v>
      </c>
      <c r="P27" s="2">
        <f t="shared" si="2"/>
        <v>2.4313153415998053E-2</v>
      </c>
    </row>
    <row r="28" spans="1:16" x14ac:dyDescent="0.2">
      <c r="A28" s="3" t="s">
        <v>145</v>
      </c>
      <c r="B28" s="3" t="s">
        <v>146</v>
      </c>
      <c r="C28" s="3" t="s">
        <v>125</v>
      </c>
      <c r="D28" s="3" t="s">
        <v>126</v>
      </c>
      <c r="E28" s="3">
        <v>26.31</v>
      </c>
      <c r="F28" s="3">
        <v>30.8</v>
      </c>
      <c r="G28" s="3">
        <v>580.76</v>
      </c>
      <c r="H28" s="3">
        <v>17.260000000000002</v>
      </c>
      <c r="I28" s="4">
        <v>0.1066</v>
      </c>
      <c r="J28" s="4">
        <v>0.1772</v>
      </c>
      <c r="K28" s="3">
        <v>1.03</v>
      </c>
      <c r="L28" s="3">
        <v>0.77</v>
      </c>
      <c r="M28" s="4">
        <v>0.26879999999999998</v>
      </c>
      <c r="N28" s="2">
        <f t="shared" si="0"/>
        <v>3.2467532467532464E-2</v>
      </c>
      <c r="O28" s="2">
        <f t="shared" si="1"/>
        <v>3.8008361839604717E-2</v>
      </c>
      <c r="P28" s="2">
        <f t="shared" si="2"/>
        <v>5.7937427578215524E-2</v>
      </c>
    </row>
    <row r="29" spans="1:16" x14ac:dyDescent="0.2">
      <c r="A29" s="3" t="s">
        <v>147</v>
      </c>
      <c r="B29" s="3" t="s">
        <v>148</v>
      </c>
      <c r="C29" s="3" t="s">
        <v>125</v>
      </c>
      <c r="D29" s="3" t="s">
        <v>126</v>
      </c>
      <c r="E29" s="3">
        <v>24.82</v>
      </c>
      <c r="F29" s="3">
        <v>17.690000000000001</v>
      </c>
      <c r="G29" s="3">
        <v>27.34</v>
      </c>
      <c r="H29" s="3">
        <v>12.44</v>
      </c>
      <c r="I29" s="4">
        <v>4.7699999999999999E-2</v>
      </c>
      <c r="J29" s="4">
        <v>6.0699999999999997E-2</v>
      </c>
      <c r="K29" s="3">
        <v>1.42</v>
      </c>
      <c r="L29" s="3">
        <v>1.23</v>
      </c>
      <c r="M29" s="4">
        <v>0.1087</v>
      </c>
      <c r="N29" s="2">
        <f t="shared" si="0"/>
        <v>5.652911249293386E-2</v>
      </c>
      <c r="O29" s="2">
        <f t="shared" si="1"/>
        <v>4.0290088638195005E-2</v>
      </c>
      <c r="P29" s="2">
        <f t="shared" si="2"/>
        <v>8.0385852090032156E-2</v>
      </c>
    </row>
    <row r="30" spans="1:16" x14ac:dyDescent="0.2">
      <c r="A30" s="3" t="s">
        <v>149</v>
      </c>
      <c r="B30" s="3" t="s">
        <v>160</v>
      </c>
      <c r="C30" s="3" t="s">
        <v>125</v>
      </c>
      <c r="D30" s="3" t="s">
        <v>126</v>
      </c>
      <c r="E30" s="3">
        <v>38.61</v>
      </c>
      <c r="F30" s="3">
        <v>91.84</v>
      </c>
      <c r="G30" s="3">
        <v>860.57</v>
      </c>
      <c r="H30" s="3">
        <v>27.15</v>
      </c>
      <c r="I30" s="4">
        <v>0.21590000000000001</v>
      </c>
      <c r="J30" s="4">
        <v>0.30109999999999998</v>
      </c>
      <c r="K30" s="3">
        <v>1.58</v>
      </c>
      <c r="L30" s="3">
        <v>1.19</v>
      </c>
      <c r="M30" s="4">
        <v>0.4556</v>
      </c>
      <c r="N30" s="2">
        <f t="shared" si="0"/>
        <v>1.0888501742160278E-2</v>
      </c>
      <c r="O30" s="2">
        <f t="shared" si="1"/>
        <v>2.5900025900025901E-2</v>
      </c>
      <c r="P30" s="2">
        <f t="shared" si="2"/>
        <v>3.6832412523020261E-2</v>
      </c>
    </row>
    <row r="31" spans="1:16" x14ac:dyDescent="0.2">
      <c r="A31" s="2" t="s">
        <v>150</v>
      </c>
      <c r="B31" s="2" t="s">
        <v>151</v>
      </c>
      <c r="C31" s="2" t="s">
        <v>125</v>
      </c>
      <c r="D31" s="2" t="s">
        <v>126</v>
      </c>
      <c r="E31" s="2">
        <v>23.99</v>
      </c>
      <c r="F31" s="2">
        <v>10.23</v>
      </c>
      <c r="G31" s="2">
        <v>108.95</v>
      </c>
      <c r="H31" s="5">
        <v>18.66</v>
      </c>
      <c r="I31" s="5">
        <v>5.5899999999999998E-2</v>
      </c>
      <c r="J31" s="5">
        <v>0.73460000000000003</v>
      </c>
      <c r="K31" s="2">
        <v>0.88</v>
      </c>
      <c r="L31" s="6">
        <v>0.48</v>
      </c>
      <c r="M31" s="5">
        <v>1.2999999999999999E-2</v>
      </c>
      <c r="N31" s="2">
        <f t="shared" si="0"/>
        <v>9.7751710654936458E-2</v>
      </c>
      <c r="O31" s="2">
        <f t="shared" si="1"/>
        <v>4.1684035014589414E-2</v>
      </c>
      <c r="P31" s="2">
        <f t="shared" si="2"/>
        <v>5.3590568060021437E-2</v>
      </c>
    </row>
    <row r="32" spans="1:16" x14ac:dyDescent="0.2">
      <c r="A32" s="3" t="s">
        <v>152</v>
      </c>
      <c r="B32" s="3" t="s">
        <v>153</v>
      </c>
      <c r="C32" s="3" t="s">
        <v>125</v>
      </c>
      <c r="D32" s="3" t="s">
        <v>154</v>
      </c>
      <c r="E32" s="3">
        <v>22.7</v>
      </c>
      <c r="F32" s="3">
        <v>19.3</v>
      </c>
      <c r="G32" s="3">
        <v>124.31</v>
      </c>
      <c r="H32" s="3">
        <v>13.02</v>
      </c>
      <c r="I32" s="4">
        <v>5.0900000000000001E-2</v>
      </c>
      <c r="J32" s="4">
        <v>0.06</v>
      </c>
      <c r="K32" s="3">
        <v>2.54</v>
      </c>
      <c r="L32" s="3">
        <v>1.87</v>
      </c>
      <c r="M32" s="4">
        <v>0.18229999999999999</v>
      </c>
      <c r="N32" s="2">
        <f t="shared" si="0"/>
        <v>5.181347150259067E-2</v>
      </c>
      <c r="O32" s="2">
        <f t="shared" si="1"/>
        <v>4.405286343612335E-2</v>
      </c>
      <c r="P32" s="2">
        <f t="shared" si="2"/>
        <v>7.6804915514592939E-2</v>
      </c>
    </row>
    <row r="33" spans="1:16" x14ac:dyDescent="0.2">
      <c r="A33" s="3" t="s">
        <v>155</v>
      </c>
      <c r="B33" s="3" t="s">
        <v>161</v>
      </c>
      <c r="C33" s="3" t="s">
        <v>125</v>
      </c>
      <c r="D33" s="3" t="s">
        <v>126</v>
      </c>
      <c r="E33" s="3">
        <v>15.13</v>
      </c>
      <c r="F33" s="3">
        <v>22</v>
      </c>
      <c r="G33" s="3">
        <v>307.83</v>
      </c>
      <c r="H33" s="3">
        <v>9.51</v>
      </c>
      <c r="I33" s="4">
        <v>0.14369999999999999</v>
      </c>
      <c r="J33" s="4">
        <v>0.18210000000000001</v>
      </c>
      <c r="K33" s="3">
        <v>1.54</v>
      </c>
      <c r="L33" s="3">
        <v>1.3</v>
      </c>
      <c r="M33" s="4">
        <v>0.41110000000000002</v>
      </c>
      <c r="N33" s="2">
        <f t="shared" si="0"/>
        <v>4.5454545454545456E-2</v>
      </c>
      <c r="O33" s="2">
        <f t="shared" si="1"/>
        <v>6.6093853271645728E-2</v>
      </c>
      <c r="P33" s="2">
        <f t="shared" si="2"/>
        <v>0.10515247108307045</v>
      </c>
    </row>
    <row r="34" spans="1:16" x14ac:dyDescent="0.2">
      <c r="A34" s="3" t="s">
        <v>156</v>
      </c>
      <c r="B34" s="3" t="s">
        <v>157</v>
      </c>
      <c r="C34" s="3" t="s">
        <v>125</v>
      </c>
      <c r="D34" s="3" t="s">
        <v>126</v>
      </c>
      <c r="E34" s="3">
        <v>30.02</v>
      </c>
      <c r="F34" s="3">
        <v>30.28</v>
      </c>
      <c r="G34" s="3">
        <v>27.89</v>
      </c>
      <c r="H34" s="3">
        <v>22.42</v>
      </c>
      <c r="I34" s="4">
        <v>0.25</v>
      </c>
      <c r="J34" s="4">
        <v>0.40570000000000001</v>
      </c>
      <c r="K34" s="3">
        <v>1.1399999999999999</v>
      </c>
      <c r="L34" s="3">
        <v>0.81</v>
      </c>
      <c r="M34" s="4">
        <v>0.27779999999999999</v>
      </c>
      <c r="N34" s="2">
        <f t="shared" si="0"/>
        <v>3.3025099075297222E-2</v>
      </c>
      <c r="O34" s="2">
        <f t="shared" si="1"/>
        <v>3.3311125916055964E-2</v>
      </c>
      <c r="P34" s="2">
        <f t="shared" si="2"/>
        <v>4.4603033006244422E-2</v>
      </c>
    </row>
    <row r="35" spans="1:16" x14ac:dyDescent="0.2">
      <c r="A35" s="2" t="s">
        <v>181</v>
      </c>
      <c r="B35" s="2" t="s">
        <v>182</v>
      </c>
      <c r="C35" s="2" t="s">
        <v>125</v>
      </c>
      <c r="D35" s="2" t="s">
        <v>126</v>
      </c>
      <c r="E35" s="2">
        <v>19.5</v>
      </c>
      <c r="F35" s="2">
        <v>16.559999999999999</v>
      </c>
      <c r="G35" s="2">
        <v>204.43</v>
      </c>
      <c r="H35" s="5">
        <v>8.48</v>
      </c>
      <c r="I35" s="5">
        <v>3.6700000000000003E-2</v>
      </c>
      <c r="J35" s="5">
        <v>5.1499999999999997E-2</v>
      </c>
      <c r="K35" s="2">
        <v>1.1599999999999999</v>
      </c>
      <c r="L35" s="6">
        <v>0.87</v>
      </c>
      <c r="M35" s="5">
        <v>0.27989999999999998</v>
      </c>
      <c r="N35" s="2">
        <f t="shared" si="0"/>
        <v>6.0386473429951695E-2</v>
      </c>
      <c r="O35" s="2">
        <f t="shared" si="1"/>
        <v>5.128205128205128E-2</v>
      </c>
      <c r="P35" s="2">
        <f t="shared" si="2"/>
        <v>0.11792452830188678</v>
      </c>
    </row>
    <row r="36" spans="1:16" x14ac:dyDescent="0.2">
      <c r="A36" s="3" t="s">
        <v>215</v>
      </c>
      <c r="B36" s="3" t="s">
        <v>216</v>
      </c>
      <c r="C36" s="3" t="s">
        <v>125</v>
      </c>
      <c r="D36" s="3" t="s">
        <v>126</v>
      </c>
      <c r="E36" s="3">
        <v>52.3</v>
      </c>
      <c r="F36" s="3">
        <v>33.58</v>
      </c>
      <c r="G36" s="3">
        <v>12.97</v>
      </c>
      <c r="H36" s="3">
        <v>22.09</v>
      </c>
      <c r="I36" s="4">
        <v>7.8700000000000006E-2</v>
      </c>
      <c r="J36" s="4">
        <v>9.9000000000000005E-2</v>
      </c>
      <c r="K36" s="3">
        <v>2.78</v>
      </c>
      <c r="L36" s="3">
        <v>2.11</v>
      </c>
      <c r="M36" s="4">
        <v>0.17499999999999999</v>
      </c>
      <c r="N36" s="2">
        <f t="shared" si="0"/>
        <v>2.9779630732578919E-2</v>
      </c>
      <c r="O36" s="2">
        <f t="shared" si="1"/>
        <v>1.9120458891013385E-2</v>
      </c>
      <c r="P36" s="2">
        <f t="shared" si="2"/>
        <v>4.5269352648257127E-2</v>
      </c>
    </row>
    <row r="37" spans="1:16" x14ac:dyDescent="0.2">
      <c r="A37" s="3" t="s">
        <v>189</v>
      </c>
      <c r="B37" s="3" t="s">
        <v>190</v>
      </c>
      <c r="C37" s="3" t="s">
        <v>125</v>
      </c>
      <c r="D37" s="3" t="s">
        <v>126</v>
      </c>
      <c r="E37" s="3">
        <v>17.7</v>
      </c>
      <c r="F37" s="3">
        <v>19.059999999999999</v>
      </c>
      <c r="G37" s="3">
        <v>72.14</v>
      </c>
      <c r="H37" s="3">
        <v>16.989999999999998</v>
      </c>
      <c r="I37" s="4">
        <v>0.1149</v>
      </c>
      <c r="J37" s="4">
        <v>0.1318</v>
      </c>
      <c r="K37" s="3">
        <v>4.13</v>
      </c>
      <c r="L37" s="3">
        <v>3.39</v>
      </c>
      <c r="M37" s="4">
        <v>0.2581</v>
      </c>
      <c r="N37" s="2">
        <f t="shared" si="0"/>
        <v>5.2465897166841559E-2</v>
      </c>
      <c r="O37" s="2">
        <f t="shared" si="1"/>
        <v>5.6497175141242938E-2</v>
      </c>
      <c r="P37" s="2">
        <f t="shared" si="2"/>
        <v>5.8858151854031787E-2</v>
      </c>
    </row>
    <row r="38" spans="1:16" x14ac:dyDescent="0.2">
      <c r="A38" s="3" t="s">
        <v>185</v>
      </c>
      <c r="B38" s="3" t="s">
        <v>186</v>
      </c>
      <c r="C38" s="3" t="s">
        <v>125</v>
      </c>
      <c r="D38" s="3" t="s">
        <v>126</v>
      </c>
      <c r="E38" s="3">
        <v>21.36</v>
      </c>
      <c r="F38" s="3">
        <v>17.57</v>
      </c>
      <c r="G38" s="3">
        <v>30.9</v>
      </c>
      <c r="H38" s="3">
        <v>14.77</v>
      </c>
      <c r="I38" s="4">
        <v>0.19</v>
      </c>
      <c r="J38" s="4">
        <v>0.216</v>
      </c>
      <c r="K38" s="3">
        <v>3.06</v>
      </c>
      <c r="L38" s="3">
        <v>2.3199999999999998</v>
      </c>
      <c r="M38" s="4">
        <v>0.34189999999999998</v>
      </c>
      <c r="N38" s="2">
        <f t="shared" si="0"/>
        <v>5.6915196357427429E-2</v>
      </c>
      <c r="O38" s="2">
        <f t="shared" si="1"/>
        <v>4.6816479400749067E-2</v>
      </c>
      <c r="P38" s="2">
        <f t="shared" si="2"/>
        <v>6.7704807041299928E-2</v>
      </c>
    </row>
    <row r="39" spans="1:16" x14ac:dyDescent="0.2">
      <c r="A39" s="3" t="s">
        <v>187</v>
      </c>
      <c r="B39" s="3" t="s">
        <v>188</v>
      </c>
      <c r="C39" s="3" t="s">
        <v>125</v>
      </c>
      <c r="D39" s="3" t="s">
        <v>126</v>
      </c>
      <c r="E39" s="3">
        <v>40.89</v>
      </c>
      <c r="F39" s="3">
        <v>18.850000000000001</v>
      </c>
      <c r="G39" s="3">
        <v>12.03</v>
      </c>
      <c r="H39" s="3">
        <v>14.42</v>
      </c>
      <c r="I39" s="4">
        <v>1.95E-2</v>
      </c>
      <c r="J39" s="4">
        <v>2.41E-2</v>
      </c>
      <c r="K39" s="3">
        <v>1.68</v>
      </c>
      <c r="L39" s="3">
        <v>1.4</v>
      </c>
      <c r="M39" s="4">
        <v>0.15029999999999999</v>
      </c>
      <c r="N39" s="2">
        <f t="shared" si="0"/>
        <v>5.305039787798408E-2</v>
      </c>
      <c r="O39" s="2">
        <f t="shared" si="1"/>
        <v>2.4455857177794083E-2</v>
      </c>
      <c r="P39" s="2">
        <f t="shared" si="2"/>
        <v>6.9348127600554782E-2</v>
      </c>
    </row>
    <row r="40" spans="1:16" x14ac:dyDescent="0.2">
      <c r="A40" s="3" t="s">
        <v>198</v>
      </c>
      <c r="B40" s="3" t="s">
        <v>199</v>
      </c>
      <c r="C40" s="3" t="s">
        <v>125</v>
      </c>
      <c r="D40" s="3" t="s">
        <v>154</v>
      </c>
      <c r="E40" s="3">
        <v>30.22</v>
      </c>
      <c r="F40" s="3">
        <v>23.36</v>
      </c>
      <c r="G40" s="3">
        <v>23.07</v>
      </c>
      <c r="H40" s="3">
        <v>14.67</v>
      </c>
      <c r="I40" s="4">
        <v>6.88E-2</v>
      </c>
      <c r="J40" s="4">
        <v>7.7799999999999994E-2</v>
      </c>
      <c r="K40" s="3">
        <v>2.48</v>
      </c>
      <c r="L40" s="3">
        <v>1.75</v>
      </c>
      <c r="M40" s="4">
        <v>0.1865</v>
      </c>
      <c r="N40" s="2">
        <f t="shared" si="0"/>
        <v>4.2808219178082189E-2</v>
      </c>
      <c r="O40" s="2">
        <f t="shared" si="1"/>
        <v>3.3090668431502317E-2</v>
      </c>
      <c r="P40" s="2">
        <f t="shared" si="2"/>
        <v>6.8166325835037497E-2</v>
      </c>
    </row>
    <row r="41" spans="1:16" x14ac:dyDescent="0.2">
      <c r="A41" s="3" t="s">
        <v>211</v>
      </c>
      <c r="B41" s="3" t="s">
        <v>212</v>
      </c>
      <c r="C41" s="3" t="s">
        <v>125</v>
      </c>
      <c r="D41" s="3" t="s">
        <v>126</v>
      </c>
      <c r="E41" s="3">
        <v>38.200000000000003</v>
      </c>
      <c r="F41" s="3">
        <v>28.69</v>
      </c>
      <c r="G41" s="3">
        <v>135.12</v>
      </c>
      <c r="H41" s="3">
        <v>19.07</v>
      </c>
      <c r="I41" s="4">
        <v>7.1499999999999994E-2</v>
      </c>
      <c r="J41" s="4">
        <v>8.6300000000000002E-2</v>
      </c>
      <c r="K41" s="3">
        <v>1.89</v>
      </c>
      <c r="L41" s="3">
        <v>1.21</v>
      </c>
      <c r="M41" s="4">
        <v>0.2346</v>
      </c>
      <c r="N41" s="2">
        <f t="shared" si="0"/>
        <v>3.4855350296270474E-2</v>
      </c>
      <c r="O41" s="2">
        <f t="shared" si="1"/>
        <v>2.6178010471204185E-2</v>
      </c>
      <c r="P41" s="2">
        <f t="shared" si="2"/>
        <v>5.2438384897745147E-2</v>
      </c>
    </row>
    <row r="42" spans="1:16" x14ac:dyDescent="0.2">
      <c r="A42" s="3" t="s">
        <v>219</v>
      </c>
      <c r="B42" s="3" t="s">
        <v>220</v>
      </c>
      <c r="C42" s="3" t="s">
        <v>125</v>
      </c>
      <c r="D42" s="3" t="s">
        <v>126</v>
      </c>
      <c r="E42" s="3">
        <v>104.01</v>
      </c>
      <c r="F42" s="3">
        <v>37.51</v>
      </c>
      <c r="G42" s="3">
        <v>8.5399999999999991</v>
      </c>
      <c r="H42" s="3">
        <v>22.58</v>
      </c>
      <c r="I42" s="4">
        <v>3.1199999999999999E-2</v>
      </c>
      <c r="J42" s="4">
        <v>3.4500000000000003E-2</v>
      </c>
      <c r="K42" s="3">
        <v>4.54</v>
      </c>
      <c r="L42" s="3">
        <v>3.08</v>
      </c>
      <c r="M42" s="4">
        <v>0.22600000000000001</v>
      </c>
      <c r="N42" s="2">
        <f t="shared" si="0"/>
        <v>2.6659557451346308E-2</v>
      </c>
      <c r="O42" s="2">
        <f t="shared" si="1"/>
        <v>9.6144601480626854E-3</v>
      </c>
      <c r="P42" s="2">
        <f t="shared" si="2"/>
        <v>4.4286979627989373E-2</v>
      </c>
    </row>
    <row r="43" spans="1:16" x14ac:dyDescent="0.2">
      <c r="A43" s="3" t="s">
        <v>209</v>
      </c>
      <c r="B43" s="3" t="s">
        <v>210</v>
      </c>
      <c r="C43" s="3" t="s">
        <v>125</v>
      </c>
      <c r="D43" s="3" t="s">
        <v>126</v>
      </c>
      <c r="E43" s="3">
        <v>25.9</v>
      </c>
      <c r="F43" s="3">
        <v>25.94</v>
      </c>
      <c r="G43" s="3">
        <v>215.13</v>
      </c>
      <c r="H43" s="3">
        <v>19.079999999999998</v>
      </c>
      <c r="I43" s="4">
        <v>6.4600000000000005E-2</v>
      </c>
      <c r="J43" s="4">
        <v>7.4399999999999994E-2</v>
      </c>
      <c r="K43" s="3">
        <v>1.53</v>
      </c>
      <c r="L43" s="3">
        <v>1.1499999999999999</v>
      </c>
      <c r="M43" s="4">
        <v>0.18740000000000001</v>
      </c>
      <c r="N43" s="2">
        <f t="shared" si="0"/>
        <v>3.8550501156515031E-2</v>
      </c>
      <c r="O43" s="2">
        <f t="shared" si="1"/>
        <v>3.8610038610038609E-2</v>
      </c>
      <c r="P43" s="2">
        <f t="shared" si="2"/>
        <v>5.2410901467505246E-2</v>
      </c>
    </row>
    <row r="44" spans="1:16" x14ac:dyDescent="0.2">
      <c r="A44" s="2" t="s">
        <v>169</v>
      </c>
      <c r="B44" s="2" t="s">
        <v>170</v>
      </c>
      <c r="C44" s="2" t="s">
        <v>125</v>
      </c>
      <c r="D44" s="2" t="s">
        <v>126</v>
      </c>
      <c r="E44" s="2">
        <v>7.11</v>
      </c>
      <c r="F44" s="2">
        <v>11.82</v>
      </c>
      <c r="G44" s="2">
        <v>15.2</v>
      </c>
      <c r="H44" s="5">
        <v>5.82</v>
      </c>
      <c r="I44" s="5">
        <v>9.6600000000000005E-2</v>
      </c>
      <c r="J44" s="5">
        <v>0.12809999999999999</v>
      </c>
      <c r="K44" s="2">
        <v>1.05</v>
      </c>
      <c r="L44" s="6">
        <v>0.98</v>
      </c>
      <c r="M44" s="5">
        <v>0.1148</v>
      </c>
      <c r="N44" s="2">
        <f t="shared" si="0"/>
        <v>8.4602368866328256E-2</v>
      </c>
      <c r="O44" s="2">
        <f t="shared" si="1"/>
        <v>0.14064697609001406</v>
      </c>
      <c r="P44" s="2">
        <f t="shared" si="2"/>
        <v>0.1718213058419244</v>
      </c>
    </row>
    <row r="45" spans="1:16" x14ac:dyDescent="0.2">
      <c r="A45" s="3" t="s">
        <v>217</v>
      </c>
      <c r="B45" s="3" t="s">
        <v>218</v>
      </c>
      <c r="C45" s="3" t="s">
        <v>125</v>
      </c>
      <c r="D45" s="3" t="s">
        <v>126</v>
      </c>
      <c r="E45" s="3">
        <v>28</v>
      </c>
      <c r="F45" s="3">
        <v>34.200000000000003</v>
      </c>
      <c r="G45" s="3">
        <v>104.66</v>
      </c>
      <c r="H45" s="3">
        <v>21.07</v>
      </c>
      <c r="I45" s="4">
        <v>0.16059999999999999</v>
      </c>
      <c r="J45" s="4">
        <v>0.19170000000000001</v>
      </c>
      <c r="K45" s="3">
        <v>2.9</v>
      </c>
      <c r="L45" s="3">
        <v>2.46</v>
      </c>
      <c r="M45" s="4">
        <v>0.39429999999999998</v>
      </c>
      <c r="N45" s="2">
        <f t="shared" si="0"/>
        <v>2.9239766081871343E-2</v>
      </c>
      <c r="O45" s="2">
        <f t="shared" si="1"/>
        <v>3.5714285714285712E-2</v>
      </c>
      <c r="P45" s="2">
        <f t="shared" si="2"/>
        <v>4.7460844803037493E-2</v>
      </c>
    </row>
    <row r="46" spans="1:16" x14ac:dyDescent="0.2">
      <c r="A46" s="3" t="s">
        <v>223</v>
      </c>
      <c r="B46" s="3" t="s">
        <v>224</v>
      </c>
      <c r="C46" s="3" t="s">
        <v>125</v>
      </c>
      <c r="D46" s="3" t="s">
        <v>126</v>
      </c>
      <c r="E46" s="3">
        <v>27.97</v>
      </c>
      <c r="F46" s="3">
        <v>57.24</v>
      </c>
      <c r="G46" s="3">
        <v>30.46</v>
      </c>
      <c r="H46" s="3">
        <v>28.99</v>
      </c>
      <c r="I46" s="4">
        <v>0.13350000000000001</v>
      </c>
      <c r="J46" s="4">
        <v>0.18049999999999999</v>
      </c>
      <c r="K46" s="3">
        <v>1.73</v>
      </c>
      <c r="L46" s="3">
        <v>1.27</v>
      </c>
      <c r="M46" s="4">
        <v>0.26679999999999998</v>
      </c>
      <c r="N46" s="2">
        <f>1/F46</f>
        <v>1.7470300489168412E-2</v>
      </c>
      <c r="O46" s="2">
        <f>1/E46</f>
        <v>3.5752592062924561E-2</v>
      </c>
      <c r="P46" s="2">
        <f>1/H46</f>
        <v>3.4494653328734047E-2</v>
      </c>
    </row>
    <row r="47" spans="1:16" x14ac:dyDescent="0.2">
      <c r="A47" s="3" t="s">
        <v>221</v>
      </c>
      <c r="B47" s="3" t="s">
        <v>222</v>
      </c>
      <c r="C47" s="3" t="s">
        <v>125</v>
      </c>
      <c r="D47" s="3" t="s">
        <v>126</v>
      </c>
      <c r="E47" s="3">
        <v>39.15</v>
      </c>
      <c r="F47" s="3">
        <v>45.17</v>
      </c>
      <c r="G47" s="3">
        <v>20.49</v>
      </c>
      <c r="H47" s="3">
        <v>23.66</v>
      </c>
      <c r="I47" s="4">
        <v>0.14050000000000001</v>
      </c>
      <c r="J47" s="4">
        <v>0.16500000000000001</v>
      </c>
      <c r="K47" s="3">
        <v>2.71</v>
      </c>
      <c r="L47" s="3">
        <v>2.04</v>
      </c>
      <c r="M47" s="4">
        <v>0.214</v>
      </c>
      <c r="N47" s="2">
        <f>1/F47</f>
        <v>2.2138587558113793E-2</v>
      </c>
      <c r="O47" s="2">
        <f>1/E47</f>
        <v>2.554278416347382E-2</v>
      </c>
      <c r="P47" s="2">
        <f>1/H47</f>
        <v>4.2265426880811495E-2</v>
      </c>
    </row>
    <row r="48" spans="1:16" x14ac:dyDescent="0.2">
      <c r="A48" s="2" t="s">
        <v>175</v>
      </c>
      <c r="B48" s="2" t="s">
        <v>176</v>
      </c>
      <c r="C48" s="2" t="s">
        <v>125</v>
      </c>
      <c r="D48" s="2" t="s">
        <v>126</v>
      </c>
      <c r="E48" s="2">
        <v>23.16</v>
      </c>
      <c r="F48" s="2">
        <v>13.57</v>
      </c>
      <c r="G48" s="2">
        <v>23.07</v>
      </c>
      <c r="H48" s="5">
        <v>9.5399999999999991</v>
      </c>
      <c r="I48" s="5">
        <v>3.1699999999999999E-2</v>
      </c>
      <c r="J48" s="5">
        <v>3.56E-2</v>
      </c>
      <c r="K48" s="2">
        <v>1.98</v>
      </c>
      <c r="L48" s="6">
        <v>1.1000000000000001</v>
      </c>
      <c r="M48" s="5">
        <v>0.16070000000000001</v>
      </c>
      <c r="N48" s="2">
        <f>1/F48</f>
        <v>7.369196757553427E-2</v>
      </c>
      <c r="O48" s="2">
        <f>1/E48</f>
        <v>4.317789291882556E-2</v>
      </c>
      <c r="P48" s="2">
        <f>1/H48</f>
        <v>0.10482180293501049</v>
      </c>
    </row>
    <row r="49" spans="1:16" x14ac:dyDescent="0.2">
      <c r="A49" s="3" t="s">
        <v>193</v>
      </c>
      <c r="B49" s="3" t="s">
        <v>194</v>
      </c>
      <c r="C49" s="3" t="s">
        <v>125</v>
      </c>
      <c r="D49" s="3" t="s">
        <v>126</v>
      </c>
      <c r="E49" s="3">
        <v>19.399999999999999</v>
      </c>
      <c r="F49" s="3">
        <v>21.52</v>
      </c>
      <c r="G49" s="3">
        <v>56.12</v>
      </c>
      <c r="H49" s="3">
        <v>13.74</v>
      </c>
      <c r="I49" s="4">
        <v>0.18</v>
      </c>
      <c r="J49" s="4">
        <v>0.21260000000000001</v>
      </c>
      <c r="K49" s="3">
        <v>3.03</v>
      </c>
      <c r="L49" s="3">
        <v>1.94</v>
      </c>
      <c r="M49" s="4">
        <v>0.38</v>
      </c>
      <c r="N49" s="2">
        <f>1/F49</f>
        <v>4.6468401486988851E-2</v>
      </c>
      <c r="O49" s="2">
        <f>1/E49</f>
        <v>5.1546391752577324E-2</v>
      </c>
      <c r="P49" s="2">
        <f>1/H49</f>
        <v>7.2780203784570591E-2</v>
      </c>
    </row>
    <row r="53" spans="1:16" x14ac:dyDescent="0.2">
      <c r="A53" s="3"/>
      <c r="B53" s="3"/>
      <c r="C53" s="3"/>
      <c r="D53" s="3"/>
      <c r="E53" s="3"/>
      <c r="F53" s="3"/>
      <c r="G53" s="3"/>
      <c r="H53" s="3"/>
      <c r="I53" s="4"/>
      <c r="J53" s="4"/>
      <c r="K53" s="3"/>
      <c r="L53" s="3"/>
      <c r="M53" s="4"/>
    </row>
  </sheetData>
  <sortState xmlns:xlrd2="http://schemas.microsoft.com/office/spreadsheetml/2017/richdata2" ref="A2:M59">
    <sortCondition ref="A1:A5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357A8-8AC5-5746-954C-BB3C0466BAA0}">
  <dimension ref="A1:O61"/>
  <sheetViews>
    <sheetView topLeftCell="A28" workbookViewId="0">
      <selection activeCell="A61" sqref="A61:B61"/>
    </sheetView>
  </sheetViews>
  <sheetFormatPr baseColWidth="10" defaultRowHeight="16" x14ac:dyDescent="0.2"/>
  <cols>
    <col min="1" max="1" width="7.33203125" bestFit="1" customWidth="1"/>
    <col min="2" max="2" width="41.5" bestFit="1" customWidth="1"/>
    <col min="3" max="3" width="11.1640625" bestFit="1" customWidth="1"/>
    <col min="4" max="4" width="8.83203125" bestFit="1" customWidth="1"/>
    <col min="5" max="6" width="8.1640625" bestFit="1" customWidth="1"/>
    <col min="7" max="7" width="17.1640625" bestFit="1" customWidth="1"/>
    <col min="8" max="8" width="11.83203125" bestFit="1" customWidth="1"/>
    <col min="9" max="9" width="8.1640625" bestFit="1" customWidth="1"/>
    <col min="10" max="10" width="11" bestFit="1" customWidth="1"/>
    <col min="11" max="11" width="8.1640625" bestFit="1" customWidth="1"/>
    <col min="12" max="13" width="9.33203125" bestFit="1" customWidth="1"/>
    <col min="14" max="14" width="7.5" bestFit="1" customWidth="1"/>
    <col min="15" max="15" width="8" bestFit="1" customWidth="1"/>
  </cols>
  <sheetData>
    <row r="1" spans="1:15" x14ac:dyDescent="0.2">
      <c r="A1" s="7" t="s">
        <v>114</v>
      </c>
      <c r="B1" s="7" t="s">
        <v>115</v>
      </c>
      <c r="C1" s="7" t="s">
        <v>116</v>
      </c>
      <c r="D1" s="7" t="s">
        <v>117</v>
      </c>
      <c r="E1" s="7" t="s">
        <v>158</v>
      </c>
      <c r="F1" s="7" t="s">
        <v>162</v>
      </c>
      <c r="G1" s="7" t="s">
        <v>118</v>
      </c>
      <c r="H1" s="7" t="s">
        <v>119</v>
      </c>
      <c r="I1" s="7" t="s">
        <v>103</v>
      </c>
      <c r="J1" s="7" t="s">
        <v>250</v>
      </c>
      <c r="K1" s="7" t="s">
        <v>120</v>
      </c>
      <c r="L1" s="7" t="s">
        <v>228</v>
      </c>
      <c r="M1" s="7" t="s">
        <v>251</v>
      </c>
      <c r="N1" s="7" t="s">
        <v>121</v>
      </c>
      <c r="O1" s="7" t="s">
        <v>313</v>
      </c>
    </row>
    <row r="2" spans="1:15" x14ac:dyDescent="0.2">
      <c r="A2" s="7" t="s">
        <v>229</v>
      </c>
      <c r="B2" s="8" t="s">
        <v>230</v>
      </c>
      <c r="C2" s="8" t="s">
        <v>125</v>
      </c>
      <c r="D2" s="8" t="s">
        <v>126</v>
      </c>
      <c r="E2" s="8"/>
      <c r="F2" s="8">
        <v>3.42</v>
      </c>
      <c r="G2" s="8"/>
      <c r="H2" s="8"/>
      <c r="I2" s="9">
        <f>-6.02</f>
        <v>-6.02</v>
      </c>
      <c r="J2" s="9">
        <v>-20.41</v>
      </c>
      <c r="K2" s="9">
        <v>-13.22</v>
      </c>
      <c r="L2" s="9">
        <v>0.83</v>
      </c>
      <c r="M2" s="9"/>
      <c r="N2" s="8">
        <v>1.1499999999999999</v>
      </c>
      <c r="O2" s="8"/>
    </row>
    <row r="3" spans="1:15" x14ac:dyDescent="0.2">
      <c r="A3" s="7" t="s">
        <v>163</v>
      </c>
      <c r="B3" s="8" t="s">
        <v>164</v>
      </c>
      <c r="C3" s="8" t="s">
        <v>125</v>
      </c>
      <c r="D3" s="8" t="s">
        <v>126</v>
      </c>
      <c r="E3" s="8">
        <v>15.02</v>
      </c>
      <c r="F3" s="8">
        <v>7.06</v>
      </c>
      <c r="G3" s="8" t="s">
        <v>231</v>
      </c>
      <c r="H3" s="8">
        <v>9.23</v>
      </c>
      <c r="I3" s="9">
        <v>4.67</v>
      </c>
      <c r="J3" s="9">
        <v>635.29999999999995</v>
      </c>
      <c r="K3" s="9">
        <v>6.81</v>
      </c>
      <c r="L3" s="9">
        <v>14.93</v>
      </c>
      <c r="M3" s="9">
        <v>27.29</v>
      </c>
      <c r="N3" s="8">
        <v>1.47</v>
      </c>
      <c r="O3" s="8">
        <v>1.41</v>
      </c>
    </row>
    <row r="4" spans="1:15" x14ac:dyDescent="0.2">
      <c r="A4" s="7" t="s">
        <v>314</v>
      </c>
      <c r="B4" s="8" t="s">
        <v>232</v>
      </c>
      <c r="C4" s="8" t="s">
        <v>125</v>
      </c>
      <c r="D4" s="8" t="s">
        <v>126</v>
      </c>
      <c r="E4" s="8">
        <v>11.24</v>
      </c>
      <c r="F4" s="8">
        <v>7.88</v>
      </c>
      <c r="G4" s="8"/>
      <c r="H4" s="8"/>
      <c r="I4" s="9">
        <v>4.2699999999999996</v>
      </c>
      <c r="J4" s="9">
        <v>15.49</v>
      </c>
      <c r="K4" s="9">
        <v>8.9499999999999993</v>
      </c>
      <c r="L4" s="9">
        <v>3.86</v>
      </c>
      <c r="M4" s="9"/>
      <c r="N4" s="8">
        <v>0.85</v>
      </c>
      <c r="O4" s="8"/>
    </row>
    <row r="5" spans="1:15" x14ac:dyDescent="0.2">
      <c r="A5" s="7" t="s">
        <v>233</v>
      </c>
      <c r="B5" s="8" t="s">
        <v>234</v>
      </c>
      <c r="C5" s="8" t="s">
        <v>125</v>
      </c>
      <c r="D5" s="8" t="s">
        <v>126</v>
      </c>
      <c r="E5" s="8">
        <v>23.02</v>
      </c>
      <c r="F5" s="8">
        <v>9.48</v>
      </c>
      <c r="G5" s="8" t="s">
        <v>235</v>
      </c>
      <c r="H5" s="8">
        <v>9.0500000000000007</v>
      </c>
      <c r="I5" s="9">
        <v>1.91</v>
      </c>
      <c r="J5" s="9">
        <v>6.23</v>
      </c>
      <c r="K5" s="9">
        <v>3.21</v>
      </c>
      <c r="L5" s="9">
        <v>3.54</v>
      </c>
      <c r="M5" s="9">
        <v>14.16</v>
      </c>
      <c r="N5" s="8">
        <v>0.87</v>
      </c>
      <c r="O5" s="8">
        <v>0.66</v>
      </c>
    </row>
    <row r="6" spans="1:15" x14ac:dyDescent="0.2">
      <c r="A6" s="7" t="s">
        <v>236</v>
      </c>
      <c r="B6" s="8" t="s">
        <v>237</v>
      </c>
      <c r="C6" s="8" t="s">
        <v>125</v>
      </c>
      <c r="D6" s="8" t="s">
        <v>126</v>
      </c>
      <c r="E6" s="8"/>
      <c r="F6" s="8">
        <v>10.79</v>
      </c>
      <c r="G6" s="8" t="s">
        <v>238</v>
      </c>
      <c r="H6" s="8">
        <v>7.87</v>
      </c>
      <c r="I6" s="9">
        <v>-1.1200000000000001</v>
      </c>
      <c r="J6" s="9">
        <v>-2.75</v>
      </c>
      <c r="K6" s="9">
        <v>-1.58</v>
      </c>
      <c r="L6" s="9">
        <v>9.69</v>
      </c>
      <c r="M6" s="9">
        <v>39.58</v>
      </c>
      <c r="N6" s="8">
        <v>1.49</v>
      </c>
      <c r="O6" s="8">
        <v>0.87</v>
      </c>
    </row>
    <row r="7" spans="1:15" x14ac:dyDescent="0.2">
      <c r="A7" s="7" t="s">
        <v>165</v>
      </c>
      <c r="B7" s="8" t="s">
        <v>166</v>
      </c>
      <c r="C7" s="8" t="s">
        <v>125</v>
      </c>
      <c r="D7" s="8" t="s">
        <v>126</v>
      </c>
      <c r="E7" s="8">
        <v>30.42</v>
      </c>
      <c r="F7" s="8">
        <v>11.27</v>
      </c>
      <c r="G7" s="8" t="s">
        <v>252</v>
      </c>
      <c r="H7" s="8">
        <v>13.27</v>
      </c>
      <c r="I7" s="9">
        <v>3.1</v>
      </c>
      <c r="J7" s="9"/>
      <c r="K7" s="9">
        <v>34.4</v>
      </c>
      <c r="L7" s="9">
        <v>1.29</v>
      </c>
      <c r="M7" s="9">
        <v>3.7</v>
      </c>
      <c r="N7" s="8">
        <v>0.88</v>
      </c>
      <c r="O7" s="8">
        <v>0.49</v>
      </c>
    </row>
    <row r="8" spans="1:15" x14ac:dyDescent="0.2">
      <c r="A8" s="7" t="s">
        <v>167</v>
      </c>
      <c r="B8" s="8" t="s">
        <v>168</v>
      </c>
      <c r="C8" s="8" t="s">
        <v>125</v>
      </c>
      <c r="D8" s="8" t="s">
        <v>126</v>
      </c>
      <c r="E8" s="8">
        <v>14.03</v>
      </c>
      <c r="F8" s="8">
        <v>11.37</v>
      </c>
      <c r="G8" s="8" t="s">
        <v>253</v>
      </c>
      <c r="H8" s="8">
        <v>8.5500000000000007</v>
      </c>
      <c r="I8" s="9">
        <v>10.18</v>
      </c>
      <c r="J8" s="9">
        <v>46.7</v>
      </c>
      <c r="K8" s="9">
        <v>14.03</v>
      </c>
      <c r="L8" s="9">
        <v>32.35</v>
      </c>
      <c r="M8" s="9">
        <v>66.64</v>
      </c>
      <c r="N8" s="8">
        <v>1.53</v>
      </c>
      <c r="O8" s="8">
        <v>1.38</v>
      </c>
    </row>
    <row r="9" spans="1:15" x14ac:dyDescent="0.2">
      <c r="A9" s="7" t="s">
        <v>260</v>
      </c>
      <c r="B9" s="8" t="s">
        <v>170</v>
      </c>
      <c r="C9" s="8" t="s">
        <v>125</v>
      </c>
      <c r="D9" s="8" t="s">
        <v>126</v>
      </c>
      <c r="E9" s="8">
        <v>7.23</v>
      </c>
      <c r="F9" s="8">
        <v>12.37</v>
      </c>
      <c r="G9" s="8" t="s">
        <v>239</v>
      </c>
      <c r="H9" s="8">
        <v>5.82</v>
      </c>
      <c r="I9" s="9">
        <v>9.8699999999999992</v>
      </c>
      <c r="J9" s="9">
        <v>20.99</v>
      </c>
      <c r="K9" s="9">
        <v>12.79</v>
      </c>
      <c r="L9" s="9">
        <v>11.36</v>
      </c>
      <c r="M9" s="9">
        <v>11.36</v>
      </c>
      <c r="N9" s="8">
        <v>1.1200000000000001</v>
      </c>
      <c r="O9" s="8">
        <v>1.04</v>
      </c>
    </row>
    <row r="10" spans="1:15" x14ac:dyDescent="0.2">
      <c r="A10" s="7" t="s">
        <v>193</v>
      </c>
      <c r="B10" s="8" t="s">
        <v>194</v>
      </c>
      <c r="C10" s="8" t="s">
        <v>125</v>
      </c>
      <c r="D10" s="8" t="s">
        <v>126</v>
      </c>
      <c r="E10" s="8">
        <v>11.71</v>
      </c>
      <c r="F10" s="8">
        <v>12.44</v>
      </c>
      <c r="G10" s="8" t="s">
        <v>254</v>
      </c>
      <c r="H10" s="8">
        <v>9.1</v>
      </c>
      <c r="I10" s="9">
        <v>17.7</v>
      </c>
      <c r="J10" s="9">
        <v>64.39</v>
      </c>
      <c r="K10" s="9">
        <v>21.12</v>
      </c>
      <c r="L10" s="9">
        <v>37.65</v>
      </c>
      <c r="M10" s="9">
        <v>70.22</v>
      </c>
      <c r="N10" s="8">
        <v>3.08</v>
      </c>
      <c r="O10" s="8">
        <v>1.84</v>
      </c>
    </row>
    <row r="11" spans="1:15" x14ac:dyDescent="0.2">
      <c r="A11" s="7" t="s">
        <v>171</v>
      </c>
      <c r="B11" s="8" t="s">
        <v>172</v>
      </c>
      <c r="C11" s="8" t="s">
        <v>125</v>
      </c>
      <c r="D11" s="8" t="s">
        <v>126</v>
      </c>
      <c r="E11" s="8">
        <v>40.26</v>
      </c>
      <c r="F11" s="8">
        <v>12.46</v>
      </c>
      <c r="G11" s="8" t="s">
        <v>240</v>
      </c>
      <c r="H11" s="8">
        <v>14.91</v>
      </c>
      <c r="I11" s="9">
        <v>2.76</v>
      </c>
      <c r="J11" s="9">
        <v>4.58</v>
      </c>
      <c r="K11" s="9">
        <v>3.16</v>
      </c>
      <c r="L11" s="9">
        <v>19.5</v>
      </c>
      <c r="M11" s="9">
        <v>64.290000000000006</v>
      </c>
      <c r="N11" s="8">
        <v>1.87</v>
      </c>
      <c r="O11" s="8">
        <v>1.26</v>
      </c>
    </row>
    <row r="12" spans="1:15" x14ac:dyDescent="0.2">
      <c r="A12" s="7" t="s">
        <v>139</v>
      </c>
      <c r="B12" s="8" t="s">
        <v>140</v>
      </c>
      <c r="C12" s="8" t="s">
        <v>125</v>
      </c>
      <c r="D12" s="8" t="s">
        <v>126</v>
      </c>
      <c r="E12" s="8">
        <v>16.420000000000002</v>
      </c>
      <c r="F12" s="8">
        <v>13.6</v>
      </c>
      <c r="G12" s="8" t="s">
        <v>241</v>
      </c>
      <c r="H12" s="8">
        <v>11.15</v>
      </c>
      <c r="I12" s="9">
        <v>23.55</v>
      </c>
      <c r="J12" s="9">
        <v>30.67</v>
      </c>
      <c r="K12" s="9">
        <v>25.3</v>
      </c>
      <c r="L12" s="9">
        <v>31.61</v>
      </c>
      <c r="M12" s="9">
        <v>91.42</v>
      </c>
      <c r="N12" s="8">
        <v>4.59</v>
      </c>
      <c r="O12" s="8">
        <v>4.51</v>
      </c>
    </row>
    <row r="13" spans="1:15" x14ac:dyDescent="0.2">
      <c r="A13" s="7" t="s">
        <v>242</v>
      </c>
      <c r="B13" s="8" t="s">
        <v>243</v>
      </c>
      <c r="C13" s="8" t="s">
        <v>125</v>
      </c>
      <c r="D13" s="8" t="s">
        <v>126</v>
      </c>
      <c r="E13" s="8">
        <v>17.54</v>
      </c>
      <c r="F13" s="8">
        <v>13.61</v>
      </c>
      <c r="G13" s="8"/>
      <c r="H13" s="8"/>
      <c r="I13" s="9">
        <v>4</v>
      </c>
      <c r="J13" s="9">
        <v>11.2</v>
      </c>
      <c r="K13" s="9">
        <v>6.57</v>
      </c>
      <c r="L13" s="9">
        <v>3.63</v>
      </c>
      <c r="M13" s="9"/>
      <c r="N13" s="8">
        <v>1.52</v>
      </c>
      <c r="O13" s="8"/>
    </row>
    <row r="14" spans="1:15" x14ac:dyDescent="0.2">
      <c r="A14" s="7" t="s">
        <v>183</v>
      </c>
      <c r="B14" s="8" t="s">
        <v>184</v>
      </c>
      <c r="C14" s="8" t="s">
        <v>125</v>
      </c>
      <c r="D14" s="8" t="s">
        <v>126</v>
      </c>
      <c r="E14" s="8">
        <v>22.59</v>
      </c>
      <c r="F14" s="8">
        <v>14.28</v>
      </c>
      <c r="G14" s="8" t="s">
        <v>244</v>
      </c>
      <c r="H14" s="8">
        <v>12.28</v>
      </c>
      <c r="I14" s="9">
        <v>3.33</v>
      </c>
      <c r="J14" s="9">
        <v>104.34</v>
      </c>
      <c r="K14" s="9">
        <v>18.11</v>
      </c>
      <c r="L14" s="9">
        <v>1.32</v>
      </c>
      <c r="M14" s="9">
        <v>3.62</v>
      </c>
      <c r="N14" s="8">
        <v>0.93</v>
      </c>
      <c r="O14" s="8">
        <v>0.57999999999999996</v>
      </c>
    </row>
    <row r="15" spans="1:15" x14ac:dyDescent="0.2">
      <c r="A15" s="7" t="s">
        <v>245</v>
      </c>
      <c r="B15" s="8" t="s">
        <v>315</v>
      </c>
      <c r="C15" s="8" t="s">
        <v>125</v>
      </c>
      <c r="D15" s="8" t="s">
        <v>126</v>
      </c>
      <c r="E15" s="8">
        <v>24.21</v>
      </c>
      <c r="F15" s="8">
        <v>14.31</v>
      </c>
      <c r="G15" s="8"/>
      <c r="H15" s="8"/>
      <c r="I15" s="9">
        <v>4.57</v>
      </c>
      <c r="J15" s="9">
        <v>14.62</v>
      </c>
      <c r="K15" s="9">
        <v>8.41</v>
      </c>
      <c r="L15" s="9">
        <v>4.82</v>
      </c>
      <c r="M15" s="9"/>
      <c r="N15" s="8">
        <v>0.78</v>
      </c>
      <c r="O15" s="8"/>
    </row>
    <row r="16" spans="1:15" x14ac:dyDescent="0.2">
      <c r="A16" s="7" t="s">
        <v>175</v>
      </c>
      <c r="B16" s="8" t="s">
        <v>176</v>
      </c>
      <c r="C16" s="8" t="s">
        <v>125</v>
      </c>
      <c r="D16" s="8" t="s">
        <v>126</v>
      </c>
      <c r="E16" s="8">
        <v>22.37</v>
      </c>
      <c r="F16" s="8">
        <v>14.61</v>
      </c>
      <c r="G16" s="8" t="s">
        <v>255</v>
      </c>
      <c r="H16" s="8">
        <v>9.85</v>
      </c>
      <c r="I16" s="9">
        <v>3.53</v>
      </c>
      <c r="J16" s="9">
        <v>6.42</v>
      </c>
      <c r="K16" s="9">
        <v>4.2699999999999996</v>
      </c>
      <c r="L16" s="9">
        <v>16.329999999999998</v>
      </c>
      <c r="M16" s="9">
        <v>61.43</v>
      </c>
      <c r="N16" s="8">
        <v>1.69</v>
      </c>
      <c r="O16" s="8">
        <v>0.94</v>
      </c>
    </row>
    <row r="17" spans="1:15" x14ac:dyDescent="0.2">
      <c r="A17" s="7" t="s">
        <v>131</v>
      </c>
      <c r="B17" s="8" t="s">
        <v>132</v>
      </c>
      <c r="C17" s="8" t="s">
        <v>125</v>
      </c>
      <c r="D17" s="8" t="s">
        <v>126</v>
      </c>
      <c r="E17" s="8"/>
      <c r="F17" s="8">
        <v>14.65</v>
      </c>
      <c r="G17" s="8" t="s">
        <v>256</v>
      </c>
      <c r="H17" s="8">
        <v>14.37</v>
      </c>
      <c r="I17" s="9">
        <v>-6.17</v>
      </c>
      <c r="J17" s="9">
        <v>-20.57</v>
      </c>
      <c r="K17" s="9">
        <v>-9.09</v>
      </c>
      <c r="L17" s="9">
        <v>39.049999999999997</v>
      </c>
      <c r="M17" s="9">
        <v>79.66</v>
      </c>
      <c r="N17" s="8">
        <v>1.27</v>
      </c>
      <c r="O17" s="8">
        <v>1.0900000000000001</v>
      </c>
    </row>
    <row r="18" spans="1:15" x14ac:dyDescent="0.2">
      <c r="A18" s="7" t="s">
        <v>261</v>
      </c>
      <c r="B18" s="8" t="s">
        <v>246</v>
      </c>
      <c r="C18" s="8" t="s">
        <v>125</v>
      </c>
      <c r="D18" s="8" t="s">
        <v>126</v>
      </c>
      <c r="E18" s="8"/>
      <c r="F18" s="8">
        <v>14.94</v>
      </c>
      <c r="G18" s="8" t="s">
        <v>247</v>
      </c>
      <c r="H18" s="8">
        <v>11.8</v>
      </c>
      <c r="I18" s="9">
        <v>-4.74</v>
      </c>
      <c r="J18" s="9">
        <v>-14.31</v>
      </c>
      <c r="K18" s="9">
        <v>-6.96</v>
      </c>
      <c r="L18" s="9">
        <v>5.62</v>
      </c>
      <c r="M18" s="9">
        <v>31.85</v>
      </c>
      <c r="N18" s="8">
        <v>1.95</v>
      </c>
      <c r="O18" s="8">
        <v>1.32</v>
      </c>
    </row>
    <row r="19" spans="1:15" x14ac:dyDescent="0.2">
      <c r="A19" s="7" t="s">
        <v>181</v>
      </c>
      <c r="B19" s="8" t="s">
        <v>182</v>
      </c>
      <c r="C19" s="8" t="s">
        <v>125</v>
      </c>
      <c r="D19" s="8" t="s">
        <v>126</v>
      </c>
      <c r="E19" s="8">
        <v>38.18</v>
      </c>
      <c r="F19" s="8">
        <v>14.96</v>
      </c>
      <c r="G19" s="8" t="s">
        <v>257</v>
      </c>
      <c r="H19" s="8">
        <v>9.19</v>
      </c>
      <c r="I19" s="9">
        <v>2.13</v>
      </c>
      <c r="J19" s="9">
        <v>4.99</v>
      </c>
      <c r="K19" s="9">
        <v>2.97</v>
      </c>
      <c r="L19" s="9">
        <v>26.57</v>
      </c>
      <c r="M19" s="9">
        <v>64.83</v>
      </c>
      <c r="N19" s="8">
        <v>1.27</v>
      </c>
      <c r="O19" s="8">
        <v>0.96</v>
      </c>
    </row>
    <row r="20" spans="1:15" x14ac:dyDescent="0.2">
      <c r="A20" s="7" t="s">
        <v>150</v>
      </c>
      <c r="B20" s="8" t="s">
        <v>151</v>
      </c>
      <c r="C20" s="8" t="s">
        <v>125</v>
      </c>
      <c r="D20" s="8" t="s">
        <v>126</v>
      </c>
      <c r="E20" s="8">
        <v>22.85</v>
      </c>
      <c r="F20" s="8">
        <v>15.52</v>
      </c>
      <c r="G20" s="8" t="s">
        <v>258</v>
      </c>
      <c r="H20" s="8">
        <v>14.56</v>
      </c>
      <c r="I20" s="9">
        <v>5.41</v>
      </c>
      <c r="J20" s="9"/>
      <c r="K20" s="9">
        <v>78.2</v>
      </c>
      <c r="L20" s="9">
        <v>1.63</v>
      </c>
      <c r="M20" s="9">
        <v>3.43</v>
      </c>
      <c r="N20" s="8">
        <v>0.89</v>
      </c>
      <c r="O20" s="8">
        <v>0.52</v>
      </c>
    </row>
    <row r="21" spans="1:15" x14ac:dyDescent="0.2">
      <c r="A21" s="7" t="s">
        <v>133</v>
      </c>
      <c r="B21" s="8" t="s">
        <v>134</v>
      </c>
      <c r="C21" s="8" t="s">
        <v>125</v>
      </c>
      <c r="D21" s="8" t="s">
        <v>126</v>
      </c>
      <c r="E21" s="8">
        <v>14.46</v>
      </c>
      <c r="F21" s="8">
        <v>15.6</v>
      </c>
      <c r="G21" s="8" t="s">
        <v>259</v>
      </c>
      <c r="H21" s="8">
        <v>9.36</v>
      </c>
      <c r="I21" s="9">
        <v>11.14</v>
      </c>
      <c r="J21" s="9"/>
      <c r="K21" s="9">
        <v>17.7</v>
      </c>
      <c r="L21" s="9">
        <v>15.48</v>
      </c>
      <c r="M21" s="9">
        <v>15.48</v>
      </c>
      <c r="N21" s="8">
        <v>0.99</v>
      </c>
      <c r="O21" s="8">
        <v>0.9</v>
      </c>
    </row>
    <row r="22" spans="1:15" x14ac:dyDescent="0.2">
      <c r="A22" s="7" t="s">
        <v>248</v>
      </c>
      <c r="B22" s="8" t="s">
        <v>205</v>
      </c>
      <c r="C22" s="8" t="s">
        <v>125</v>
      </c>
      <c r="D22" s="8" t="s">
        <v>126</v>
      </c>
      <c r="E22" s="8">
        <v>19.18</v>
      </c>
      <c r="F22" s="8">
        <v>15.76</v>
      </c>
      <c r="G22" s="8" t="s">
        <v>249</v>
      </c>
      <c r="H22" s="8">
        <v>10.9</v>
      </c>
      <c r="I22" s="9">
        <v>4.55</v>
      </c>
      <c r="J22" s="9">
        <v>6.84</v>
      </c>
      <c r="K22" s="9">
        <v>5.57</v>
      </c>
      <c r="L22" s="9">
        <v>19.260000000000002</v>
      </c>
      <c r="M22" s="9">
        <v>61.39</v>
      </c>
      <c r="N22" s="8">
        <v>1.22</v>
      </c>
      <c r="O22" s="8">
        <v>0.73</v>
      </c>
    </row>
    <row r="23" spans="1:15" x14ac:dyDescent="0.2">
      <c r="A23" s="7" t="s">
        <v>206</v>
      </c>
      <c r="B23" s="8" t="s">
        <v>207</v>
      </c>
      <c r="C23" s="8" t="s">
        <v>125</v>
      </c>
      <c r="D23" s="8" t="s">
        <v>126</v>
      </c>
      <c r="E23" s="8">
        <v>25.15</v>
      </c>
      <c r="F23" s="8">
        <v>16.260000000000002</v>
      </c>
      <c r="G23" s="8" t="s">
        <v>262</v>
      </c>
      <c r="H23" s="8">
        <v>9.83</v>
      </c>
      <c r="I23" s="9">
        <v>6.55</v>
      </c>
      <c r="J23" s="9">
        <v>10.16</v>
      </c>
      <c r="K23" s="9">
        <v>9.58</v>
      </c>
      <c r="L23" s="9">
        <v>18.38</v>
      </c>
      <c r="M23" s="9">
        <v>70.650000000000006</v>
      </c>
      <c r="N23" s="8">
        <v>1.4</v>
      </c>
      <c r="O23" s="8">
        <v>1.28</v>
      </c>
    </row>
    <row r="24" spans="1:15" x14ac:dyDescent="0.2">
      <c r="A24" s="7" t="s">
        <v>135</v>
      </c>
      <c r="B24" s="8" t="s">
        <v>136</v>
      </c>
      <c r="C24" s="8" t="s">
        <v>125</v>
      </c>
      <c r="D24" s="8" t="s">
        <v>126</v>
      </c>
      <c r="E24" s="8">
        <v>25.06</v>
      </c>
      <c r="F24" s="8">
        <v>16.84</v>
      </c>
      <c r="G24" s="8" t="s">
        <v>263</v>
      </c>
      <c r="H24" s="8">
        <v>12.99</v>
      </c>
      <c r="I24" s="9">
        <v>3.62</v>
      </c>
      <c r="J24" s="9">
        <v>12.21</v>
      </c>
      <c r="K24" s="9">
        <v>7.03</v>
      </c>
      <c r="L24" s="9">
        <v>5.98</v>
      </c>
      <c r="M24" s="9">
        <v>29.3</v>
      </c>
      <c r="N24" s="8">
        <v>1.32</v>
      </c>
      <c r="O24" s="8">
        <v>0.73</v>
      </c>
    </row>
    <row r="25" spans="1:15" x14ac:dyDescent="0.2">
      <c r="A25" s="7" t="s">
        <v>179</v>
      </c>
      <c r="B25" s="8" t="s">
        <v>180</v>
      </c>
      <c r="C25" s="8" t="s">
        <v>125</v>
      </c>
      <c r="D25" s="8" t="s">
        <v>126</v>
      </c>
      <c r="E25" s="8">
        <v>22.08</v>
      </c>
      <c r="F25" s="8">
        <v>17.03</v>
      </c>
      <c r="G25" s="8" t="s">
        <v>264</v>
      </c>
      <c r="H25" s="8">
        <v>12.86</v>
      </c>
      <c r="I25" s="9">
        <v>6.43</v>
      </c>
      <c r="J25" s="9">
        <v>14.35</v>
      </c>
      <c r="K25" s="9">
        <v>7.72</v>
      </c>
      <c r="L25" s="9">
        <v>14.56</v>
      </c>
      <c r="M25" s="9">
        <v>31.87</v>
      </c>
      <c r="N25" s="8">
        <v>1.59</v>
      </c>
      <c r="O25" s="8">
        <v>1.46</v>
      </c>
    </row>
    <row r="26" spans="1:15" x14ac:dyDescent="0.2">
      <c r="A26" s="7" t="s">
        <v>200</v>
      </c>
      <c r="B26" s="8" t="s">
        <v>201</v>
      </c>
      <c r="C26" s="8" t="s">
        <v>125</v>
      </c>
      <c r="D26" s="8" t="s">
        <v>126</v>
      </c>
      <c r="E26" s="8">
        <v>17.940000000000001</v>
      </c>
      <c r="F26" s="8">
        <v>17.690000000000001</v>
      </c>
      <c r="G26" s="8" t="s">
        <v>265</v>
      </c>
      <c r="H26" s="8">
        <v>12.74</v>
      </c>
      <c r="I26" s="9">
        <v>8.4700000000000006</v>
      </c>
      <c r="J26" s="9">
        <v>15.52</v>
      </c>
      <c r="K26" s="9">
        <v>10.25</v>
      </c>
      <c r="L26" s="9">
        <v>21.8</v>
      </c>
      <c r="M26" s="9">
        <v>66.36</v>
      </c>
      <c r="N26" s="8">
        <v>1.24</v>
      </c>
      <c r="O26" s="8">
        <v>0.74</v>
      </c>
    </row>
    <row r="27" spans="1:15" x14ac:dyDescent="0.2">
      <c r="A27" s="7" t="s">
        <v>152</v>
      </c>
      <c r="B27" s="8" t="s">
        <v>153</v>
      </c>
      <c r="C27" s="8" t="s">
        <v>125</v>
      </c>
      <c r="D27" s="8" t="s">
        <v>154</v>
      </c>
      <c r="E27" s="8">
        <v>21.94</v>
      </c>
      <c r="F27" s="8">
        <v>18.59</v>
      </c>
      <c r="G27" s="8" t="s">
        <v>266</v>
      </c>
      <c r="H27" s="8">
        <v>12.85</v>
      </c>
      <c r="I27" s="9">
        <v>5.68</v>
      </c>
      <c r="J27" s="9">
        <v>10.66</v>
      </c>
      <c r="K27" s="9">
        <v>6.9</v>
      </c>
      <c r="L27" s="9">
        <v>19.93</v>
      </c>
      <c r="M27" s="9">
        <v>60.56</v>
      </c>
      <c r="N27" s="8">
        <v>2.0699999999999998</v>
      </c>
      <c r="O27" s="8">
        <v>1.54</v>
      </c>
    </row>
    <row r="28" spans="1:15" x14ac:dyDescent="0.2">
      <c r="A28" s="7" t="s">
        <v>129</v>
      </c>
      <c r="B28" s="8" t="s">
        <v>130</v>
      </c>
      <c r="C28" s="8" t="s">
        <v>125</v>
      </c>
      <c r="D28" s="8" t="s">
        <v>126</v>
      </c>
      <c r="E28" s="8">
        <v>15.31</v>
      </c>
      <c r="F28" s="8">
        <v>19.05</v>
      </c>
      <c r="G28" s="8" t="s">
        <v>267</v>
      </c>
      <c r="H28" s="8">
        <v>10.98</v>
      </c>
      <c r="I28" s="9">
        <v>5.46</v>
      </c>
      <c r="J28" s="9">
        <v>19.190000000000001</v>
      </c>
      <c r="K28" s="9">
        <v>9.2799999999999994</v>
      </c>
      <c r="L28" s="9">
        <v>13.73</v>
      </c>
      <c r="M28" s="9">
        <v>39.369999999999997</v>
      </c>
      <c r="N28" s="8">
        <v>1.21</v>
      </c>
      <c r="O28" s="8">
        <v>0.91</v>
      </c>
    </row>
    <row r="29" spans="1:15" x14ac:dyDescent="0.2">
      <c r="A29" s="7" t="s">
        <v>185</v>
      </c>
      <c r="B29" s="8" t="s">
        <v>186</v>
      </c>
      <c r="C29" s="8" t="s">
        <v>125</v>
      </c>
      <c r="D29" s="8" t="s">
        <v>126</v>
      </c>
      <c r="E29" s="8">
        <v>21.22</v>
      </c>
      <c r="F29" s="8">
        <v>19.37</v>
      </c>
      <c r="G29" s="8" t="s">
        <v>268</v>
      </c>
      <c r="H29" s="8">
        <v>14.44</v>
      </c>
      <c r="I29" s="9">
        <v>17.77</v>
      </c>
      <c r="J29" s="9">
        <v>24.27</v>
      </c>
      <c r="K29" s="9">
        <v>21.39</v>
      </c>
      <c r="L29" s="9">
        <v>34.01</v>
      </c>
      <c r="M29" s="9">
        <v>60.25</v>
      </c>
      <c r="N29" s="8">
        <v>3.1</v>
      </c>
      <c r="O29" s="8">
        <v>2.42</v>
      </c>
    </row>
    <row r="30" spans="1:15" x14ac:dyDescent="0.2">
      <c r="A30" s="7" t="s">
        <v>177</v>
      </c>
      <c r="B30" s="8" t="s">
        <v>178</v>
      </c>
      <c r="C30" s="8" t="s">
        <v>125</v>
      </c>
      <c r="D30" s="8" t="s">
        <v>126</v>
      </c>
      <c r="E30" s="8">
        <v>55.45</v>
      </c>
      <c r="F30" s="8">
        <v>19.77</v>
      </c>
      <c r="G30" s="8" t="s">
        <v>269</v>
      </c>
      <c r="H30" s="8">
        <v>12.57</v>
      </c>
      <c r="I30" s="9">
        <v>2.44</v>
      </c>
      <c r="J30" s="9">
        <v>5.17</v>
      </c>
      <c r="K30" s="9">
        <v>2.48</v>
      </c>
      <c r="L30" s="9">
        <v>14.54</v>
      </c>
      <c r="M30" s="9">
        <v>46.44</v>
      </c>
      <c r="N30" s="8">
        <v>0.87</v>
      </c>
      <c r="O30" s="8">
        <v>0.51</v>
      </c>
    </row>
    <row r="31" spans="1:15" x14ac:dyDescent="0.2">
      <c r="A31" s="7" t="s">
        <v>141</v>
      </c>
      <c r="B31" s="8" t="s">
        <v>142</v>
      </c>
      <c r="C31" s="8" t="s">
        <v>125</v>
      </c>
      <c r="D31" s="8" t="s">
        <v>126</v>
      </c>
      <c r="E31" s="8">
        <v>33.65</v>
      </c>
      <c r="F31" s="8">
        <v>20.440000000000001</v>
      </c>
      <c r="G31" s="8" t="s">
        <v>270</v>
      </c>
      <c r="H31" s="8">
        <v>16.63</v>
      </c>
      <c r="I31" s="9">
        <v>4.7</v>
      </c>
      <c r="J31" s="9">
        <v>23.01</v>
      </c>
      <c r="K31" s="9">
        <v>6.83</v>
      </c>
      <c r="L31" s="9">
        <v>13.9</v>
      </c>
      <c r="M31" s="9">
        <v>26.02</v>
      </c>
      <c r="N31" s="8">
        <v>0.71</v>
      </c>
      <c r="O31" s="8">
        <v>0.71</v>
      </c>
    </row>
    <row r="32" spans="1:15" x14ac:dyDescent="0.2">
      <c r="A32" s="7" t="s">
        <v>147</v>
      </c>
      <c r="B32" s="8" t="s">
        <v>148</v>
      </c>
      <c r="C32" s="8" t="s">
        <v>125</v>
      </c>
      <c r="D32" s="8" t="s">
        <v>126</v>
      </c>
      <c r="E32" s="8">
        <v>24.11</v>
      </c>
      <c r="F32" s="8">
        <v>20.47</v>
      </c>
      <c r="G32" s="8" t="s">
        <v>271</v>
      </c>
      <c r="H32" s="8">
        <v>13.03</v>
      </c>
      <c r="I32" s="9">
        <v>5.48</v>
      </c>
      <c r="J32" s="9">
        <v>11.74</v>
      </c>
      <c r="K32" s="9">
        <v>6.6</v>
      </c>
      <c r="L32" s="9">
        <v>11.35</v>
      </c>
      <c r="M32" s="9">
        <v>26.82</v>
      </c>
      <c r="N32" s="8">
        <v>1.8</v>
      </c>
      <c r="O32" s="8">
        <v>1.53</v>
      </c>
    </row>
    <row r="33" spans="1:15" x14ac:dyDescent="0.2">
      <c r="A33" s="7" t="s">
        <v>189</v>
      </c>
      <c r="B33" s="8" t="s">
        <v>190</v>
      </c>
      <c r="C33" s="8" t="s">
        <v>125</v>
      </c>
      <c r="D33" s="8" t="s">
        <v>126</v>
      </c>
      <c r="E33" s="8">
        <v>18.5</v>
      </c>
      <c r="F33" s="8">
        <v>20.5</v>
      </c>
      <c r="G33" s="8" t="s">
        <v>272</v>
      </c>
      <c r="H33" s="8">
        <v>15.27</v>
      </c>
      <c r="I33" s="9">
        <v>10.83</v>
      </c>
      <c r="J33" s="9">
        <v>14.04</v>
      </c>
      <c r="K33" s="9">
        <v>12.85</v>
      </c>
      <c r="L33" s="9">
        <v>26.87</v>
      </c>
      <c r="M33" s="9">
        <v>81.459999999999994</v>
      </c>
      <c r="N33" s="8">
        <v>3.34</v>
      </c>
      <c r="O33" s="8">
        <v>2.78</v>
      </c>
    </row>
    <row r="34" spans="1:15" x14ac:dyDescent="0.2">
      <c r="A34" s="7" t="s">
        <v>197</v>
      </c>
      <c r="B34" s="8" t="s">
        <v>208</v>
      </c>
      <c r="C34" s="8" t="s">
        <v>125</v>
      </c>
      <c r="D34" s="8" t="s">
        <v>126</v>
      </c>
      <c r="E34" s="8">
        <v>25.79</v>
      </c>
      <c r="F34" s="8">
        <v>22.06</v>
      </c>
      <c r="G34" s="8" t="s">
        <v>273</v>
      </c>
      <c r="H34" s="8">
        <v>15.4</v>
      </c>
      <c r="I34" s="9">
        <v>9.5299999999999994</v>
      </c>
      <c r="J34" s="9">
        <v>91.47</v>
      </c>
      <c r="K34" s="9">
        <v>13.76</v>
      </c>
      <c r="L34" s="9">
        <v>33.31</v>
      </c>
      <c r="M34" s="9">
        <v>72.709999999999994</v>
      </c>
      <c r="N34" s="8">
        <v>1.37</v>
      </c>
      <c r="O34" s="8">
        <v>1.1299999999999999</v>
      </c>
    </row>
    <row r="35" spans="1:15" x14ac:dyDescent="0.2">
      <c r="A35" s="7" t="s">
        <v>195</v>
      </c>
      <c r="B35" s="8" t="s">
        <v>196</v>
      </c>
      <c r="C35" s="8" t="s">
        <v>125</v>
      </c>
      <c r="D35" s="8" t="s">
        <v>126</v>
      </c>
      <c r="E35" s="8">
        <v>32.74</v>
      </c>
      <c r="F35" s="8">
        <v>22.4</v>
      </c>
      <c r="G35" s="8" t="s">
        <v>274</v>
      </c>
      <c r="H35" s="8">
        <v>18.27</v>
      </c>
      <c r="I35" s="9">
        <v>5.59</v>
      </c>
      <c r="J35" s="9">
        <v>10.63</v>
      </c>
      <c r="K35" s="9">
        <v>6.7</v>
      </c>
      <c r="L35" s="9">
        <v>16.440000000000001</v>
      </c>
      <c r="M35" s="9">
        <v>52.81</v>
      </c>
      <c r="N35" s="8">
        <v>1.38</v>
      </c>
      <c r="O35" s="8">
        <v>0.97</v>
      </c>
    </row>
    <row r="36" spans="1:15" x14ac:dyDescent="0.2">
      <c r="A36" s="7" t="s">
        <v>198</v>
      </c>
      <c r="B36" s="8" t="s">
        <v>199</v>
      </c>
      <c r="C36" s="8" t="s">
        <v>125</v>
      </c>
      <c r="D36" s="8" t="s">
        <v>154</v>
      </c>
      <c r="E36" s="8">
        <v>26.03</v>
      </c>
      <c r="F36" s="8">
        <v>22.43</v>
      </c>
      <c r="G36" s="8" t="s">
        <v>275</v>
      </c>
      <c r="H36" s="8">
        <v>13.34</v>
      </c>
      <c r="I36" s="9">
        <v>7.62</v>
      </c>
      <c r="J36" s="9">
        <v>11.37</v>
      </c>
      <c r="K36" s="9">
        <v>8.9700000000000006</v>
      </c>
      <c r="L36" s="9">
        <v>19.61</v>
      </c>
      <c r="M36" s="9">
        <v>45</v>
      </c>
      <c r="N36" s="8">
        <v>1.91</v>
      </c>
      <c r="O36" s="8">
        <v>1.35</v>
      </c>
    </row>
    <row r="37" spans="1:15" x14ac:dyDescent="0.2">
      <c r="A37" s="7" t="s">
        <v>211</v>
      </c>
      <c r="B37" s="8" t="s">
        <v>212</v>
      </c>
      <c r="C37" s="8" t="s">
        <v>125</v>
      </c>
      <c r="D37" s="8" t="s">
        <v>126</v>
      </c>
      <c r="E37" s="8">
        <v>28.51</v>
      </c>
      <c r="F37" s="8">
        <v>22.45</v>
      </c>
      <c r="G37" s="8" t="s">
        <v>276</v>
      </c>
      <c r="H37" s="8">
        <v>15.69</v>
      </c>
      <c r="I37" s="9">
        <v>7.91</v>
      </c>
      <c r="J37" s="9">
        <v>16.510000000000002</v>
      </c>
      <c r="K37" s="9">
        <v>9.68</v>
      </c>
      <c r="L37" s="9">
        <v>24.27</v>
      </c>
      <c r="M37" s="9">
        <v>62.97</v>
      </c>
      <c r="N37" s="8">
        <v>2.16</v>
      </c>
      <c r="O37" s="8">
        <v>1.33</v>
      </c>
    </row>
    <row r="38" spans="1:15" x14ac:dyDescent="0.2">
      <c r="A38" s="7" t="s">
        <v>316</v>
      </c>
      <c r="B38" s="8" t="s">
        <v>161</v>
      </c>
      <c r="C38" s="8" t="s">
        <v>125</v>
      </c>
      <c r="D38" s="8" t="s">
        <v>126</v>
      </c>
      <c r="E38" s="8">
        <v>118.54</v>
      </c>
      <c r="F38" s="8">
        <v>22.78</v>
      </c>
      <c r="G38" s="8" t="s">
        <v>277</v>
      </c>
      <c r="H38" s="8">
        <v>21.7</v>
      </c>
      <c r="I38" s="9">
        <v>2.57</v>
      </c>
      <c r="J38" s="9">
        <v>6.98</v>
      </c>
      <c r="K38" s="9">
        <v>3.41</v>
      </c>
      <c r="L38" s="9">
        <v>18.809999999999999</v>
      </c>
      <c r="M38" s="9">
        <v>72.430000000000007</v>
      </c>
      <c r="N38" s="8">
        <v>1.32</v>
      </c>
      <c r="O38" s="8">
        <v>1.1000000000000001</v>
      </c>
    </row>
    <row r="39" spans="1:15" x14ac:dyDescent="0.2">
      <c r="A39" s="7" t="s">
        <v>123</v>
      </c>
      <c r="B39" s="8" t="s">
        <v>124</v>
      </c>
      <c r="C39" s="8" t="s">
        <v>125</v>
      </c>
      <c r="D39" s="8" t="s">
        <v>126</v>
      </c>
      <c r="E39" s="8">
        <v>34.11</v>
      </c>
      <c r="F39" s="8">
        <v>23.21</v>
      </c>
      <c r="G39" s="8" t="s">
        <v>278</v>
      </c>
      <c r="H39" s="8">
        <v>22.85</v>
      </c>
      <c r="I39" s="9">
        <v>14.51</v>
      </c>
      <c r="J39" s="9">
        <v>38.49</v>
      </c>
      <c r="K39" s="9">
        <v>25</v>
      </c>
      <c r="L39" s="9">
        <v>22.92</v>
      </c>
      <c r="M39" s="9">
        <v>63.57</v>
      </c>
      <c r="N39" s="8">
        <v>1.73</v>
      </c>
      <c r="O39" s="8">
        <v>1.43</v>
      </c>
    </row>
    <row r="40" spans="1:15" x14ac:dyDescent="0.2">
      <c r="A40" s="7" t="s">
        <v>279</v>
      </c>
      <c r="B40" s="8" t="s">
        <v>280</v>
      </c>
      <c r="C40" s="8" t="s">
        <v>125</v>
      </c>
      <c r="D40" s="8" t="s">
        <v>126</v>
      </c>
      <c r="E40" s="8">
        <v>37.03</v>
      </c>
      <c r="F40" s="8">
        <v>24.09</v>
      </c>
      <c r="G40" s="8"/>
      <c r="H40" s="8"/>
      <c r="I40" s="9">
        <v>2.38</v>
      </c>
      <c r="J40" s="9">
        <v>6.83</v>
      </c>
      <c r="K40" s="9">
        <v>4.0999999999999996</v>
      </c>
      <c r="L40" s="9">
        <v>1.86</v>
      </c>
      <c r="M40" s="9"/>
      <c r="N40" s="8">
        <v>1.74</v>
      </c>
      <c r="O40" s="8"/>
    </row>
    <row r="41" spans="1:15" x14ac:dyDescent="0.2">
      <c r="A41" s="7" t="s">
        <v>191</v>
      </c>
      <c r="B41" s="8" t="s">
        <v>192</v>
      </c>
      <c r="C41" s="8" t="s">
        <v>125</v>
      </c>
      <c r="D41" s="8" t="s">
        <v>126</v>
      </c>
      <c r="E41" s="8">
        <v>75.61</v>
      </c>
      <c r="F41" s="8">
        <v>25.95</v>
      </c>
      <c r="G41" s="8" t="s">
        <v>281</v>
      </c>
      <c r="H41" s="8">
        <v>17.940000000000001</v>
      </c>
      <c r="I41" s="9">
        <v>4.5999999999999996</v>
      </c>
      <c r="J41" s="9">
        <v>15221.82</v>
      </c>
      <c r="K41" s="9">
        <v>11.08</v>
      </c>
      <c r="L41" s="9">
        <v>34.18</v>
      </c>
      <c r="M41" s="9">
        <v>71.42</v>
      </c>
      <c r="N41" s="8">
        <v>0.81</v>
      </c>
      <c r="O41" s="8">
        <v>0.69</v>
      </c>
    </row>
    <row r="42" spans="1:15" x14ac:dyDescent="0.2">
      <c r="A42" s="7" t="s">
        <v>282</v>
      </c>
      <c r="B42" s="8" t="s">
        <v>283</v>
      </c>
      <c r="C42" s="8" t="s">
        <v>125</v>
      </c>
      <c r="D42" s="8" t="s">
        <v>126</v>
      </c>
      <c r="E42" s="8">
        <v>46.06</v>
      </c>
      <c r="F42" s="8">
        <v>27.66</v>
      </c>
      <c r="G42" s="8" t="s">
        <v>284</v>
      </c>
      <c r="H42" s="8">
        <v>35.130000000000003</v>
      </c>
      <c r="I42" s="9">
        <v>11.9</v>
      </c>
      <c r="J42" s="9">
        <v>14.42</v>
      </c>
      <c r="K42" s="9">
        <v>13.41</v>
      </c>
      <c r="L42" s="9">
        <v>29.93</v>
      </c>
      <c r="M42" s="9">
        <v>74.83</v>
      </c>
      <c r="N42" s="8">
        <v>5.46</v>
      </c>
      <c r="O42" s="8">
        <v>5.46</v>
      </c>
    </row>
    <row r="43" spans="1:15" x14ac:dyDescent="0.2">
      <c r="A43" s="7" t="s">
        <v>202</v>
      </c>
      <c r="B43" s="8" t="s">
        <v>203</v>
      </c>
      <c r="C43" s="8" t="s">
        <v>125</v>
      </c>
      <c r="D43" s="8" t="s">
        <v>126</v>
      </c>
      <c r="E43" s="8">
        <v>40.14</v>
      </c>
      <c r="F43" s="8">
        <v>29.07</v>
      </c>
      <c r="G43" s="8" t="s">
        <v>285</v>
      </c>
      <c r="H43" s="8">
        <v>23.23</v>
      </c>
      <c r="I43" s="9">
        <v>4.59</v>
      </c>
      <c r="J43" s="9">
        <v>7.61</v>
      </c>
      <c r="K43" s="9">
        <v>5.15</v>
      </c>
      <c r="L43" s="9">
        <v>21.19</v>
      </c>
      <c r="M43" s="9">
        <v>58.97</v>
      </c>
      <c r="N43" s="8">
        <v>1.65</v>
      </c>
      <c r="O43" s="8">
        <v>1.25</v>
      </c>
    </row>
    <row r="44" spans="1:15" x14ac:dyDescent="0.2">
      <c r="A44" s="7" t="s">
        <v>145</v>
      </c>
      <c r="B44" s="8" t="s">
        <v>146</v>
      </c>
      <c r="C44" s="8" t="s">
        <v>125</v>
      </c>
      <c r="D44" s="8" t="s">
        <v>126</v>
      </c>
      <c r="E44" s="8">
        <v>31.47</v>
      </c>
      <c r="F44" s="8">
        <v>29.41</v>
      </c>
      <c r="G44" s="8" t="s">
        <v>286</v>
      </c>
      <c r="H44" s="8">
        <v>19.97</v>
      </c>
      <c r="I44" s="9">
        <v>10.67</v>
      </c>
      <c r="J44" s="9">
        <v>25.74</v>
      </c>
      <c r="K44" s="9">
        <v>17.2</v>
      </c>
      <c r="L44" s="9">
        <v>26.99</v>
      </c>
      <c r="M44" s="9">
        <v>68.03</v>
      </c>
      <c r="N44" s="8">
        <v>1.0900000000000001</v>
      </c>
      <c r="O44" s="8">
        <v>0.81</v>
      </c>
    </row>
    <row r="45" spans="1:15" x14ac:dyDescent="0.2">
      <c r="A45" s="7" t="s">
        <v>187</v>
      </c>
      <c r="B45" s="8" t="s">
        <v>188</v>
      </c>
      <c r="C45" s="8" t="s">
        <v>125</v>
      </c>
      <c r="D45" s="8" t="s">
        <v>126</v>
      </c>
      <c r="E45" s="8">
        <v>72.19</v>
      </c>
      <c r="F45" s="8">
        <v>30.39</v>
      </c>
      <c r="G45" s="8" t="s">
        <v>287</v>
      </c>
      <c r="H45" s="8">
        <v>22.36</v>
      </c>
      <c r="I45" s="9">
        <v>1.94</v>
      </c>
      <c r="J45" s="9">
        <v>3.21</v>
      </c>
      <c r="K45" s="9">
        <v>2.38</v>
      </c>
      <c r="L45" s="9">
        <v>15.45</v>
      </c>
      <c r="M45" s="9">
        <v>48.19</v>
      </c>
      <c r="N45" s="8">
        <v>1.8</v>
      </c>
      <c r="O45" s="8">
        <v>1.5</v>
      </c>
    </row>
    <row r="46" spans="1:15" x14ac:dyDescent="0.2">
      <c r="A46" s="7" t="s">
        <v>215</v>
      </c>
      <c r="B46" s="8" t="s">
        <v>216</v>
      </c>
      <c r="C46" s="8" t="s">
        <v>125</v>
      </c>
      <c r="D46" s="8" t="s">
        <v>126</v>
      </c>
      <c r="E46" s="8">
        <v>26.42</v>
      </c>
      <c r="F46" s="8">
        <v>31.45</v>
      </c>
      <c r="G46" s="8" t="s">
        <v>288</v>
      </c>
      <c r="H46" s="8">
        <v>15.1</v>
      </c>
      <c r="I46" s="9">
        <v>11.31</v>
      </c>
      <c r="J46" s="9">
        <v>26.02</v>
      </c>
      <c r="K46" s="9">
        <v>15.96</v>
      </c>
      <c r="L46" s="9">
        <v>16.88</v>
      </c>
      <c r="M46" s="9">
        <v>72.16</v>
      </c>
      <c r="N46" s="8">
        <v>2.4500000000000002</v>
      </c>
      <c r="O46" s="8">
        <v>1.8</v>
      </c>
    </row>
    <row r="47" spans="1:15" x14ac:dyDescent="0.2">
      <c r="A47" s="7" t="s">
        <v>137</v>
      </c>
      <c r="B47" s="8" t="s">
        <v>138</v>
      </c>
      <c r="C47" s="8" t="s">
        <v>125</v>
      </c>
      <c r="D47" s="8" t="s">
        <v>126</v>
      </c>
      <c r="E47" s="8">
        <v>37.18</v>
      </c>
      <c r="F47" s="8">
        <v>33.32</v>
      </c>
      <c r="G47" s="8" t="s">
        <v>289</v>
      </c>
      <c r="H47" s="8">
        <v>26.34</v>
      </c>
      <c r="I47" s="9">
        <v>33.65</v>
      </c>
      <c r="J47" s="9">
        <v>74.209999999999994</v>
      </c>
      <c r="K47" s="9">
        <v>56.62</v>
      </c>
      <c r="L47" s="9">
        <v>32.119999999999997</v>
      </c>
      <c r="M47" s="9">
        <v>62.53</v>
      </c>
      <c r="N47" s="8">
        <v>1.1100000000000001</v>
      </c>
      <c r="O47" s="8">
        <v>0.81</v>
      </c>
    </row>
    <row r="48" spans="1:15" x14ac:dyDescent="0.2">
      <c r="A48" s="7" t="s">
        <v>209</v>
      </c>
      <c r="B48" s="8" t="s">
        <v>210</v>
      </c>
      <c r="C48" s="8" t="s">
        <v>125</v>
      </c>
      <c r="D48" s="8" t="s">
        <v>126</v>
      </c>
      <c r="E48" s="8">
        <v>36.520000000000003</v>
      </c>
      <c r="F48" s="8">
        <v>34.31</v>
      </c>
      <c r="G48" s="8" t="s">
        <v>290</v>
      </c>
      <c r="H48" s="8">
        <v>24.58</v>
      </c>
      <c r="I48" s="9">
        <v>6.5</v>
      </c>
      <c r="J48" s="9">
        <v>13.51</v>
      </c>
      <c r="K48" s="9">
        <v>7.59</v>
      </c>
      <c r="L48" s="9">
        <v>19.09</v>
      </c>
      <c r="M48" s="9">
        <v>40.19</v>
      </c>
      <c r="N48" s="8">
        <v>1.55</v>
      </c>
      <c r="O48" s="8">
        <v>1.18</v>
      </c>
    </row>
    <row r="49" spans="1:15" x14ac:dyDescent="0.2">
      <c r="A49" s="7" t="s">
        <v>127</v>
      </c>
      <c r="B49" s="8" t="s">
        <v>128</v>
      </c>
      <c r="C49" s="8" t="s">
        <v>125</v>
      </c>
      <c r="D49" s="8" t="s">
        <v>126</v>
      </c>
      <c r="E49" s="8">
        <v>51.53</v>
      </c>
      <c r="F49" s="8">
        <v>34.909999999999997</v>
      </c>
      <c r="G49" s="8" t="s">
        <v>291</v>
      </c>
      <c r="H49" s="8">
        <v>23.03</v>
      </c>
      <c r="I49" s="9">
        <v>7.16</v>
      </c>
      <c r="J49" s="9">
        <v>9.26</v>
      </c>
      <c r="K49" s="9">
        <v>8.67</v>
      </c>
      <c r="L49" s="9">
        <v>28.53</v>
      </c>
      <c r="M49" s="9">
        <v>78.28</v>
      </c>
      <c r="N49" s="8">
        <v>4.5199999999999996</v>
      </c>
      <c r="O49" s="8">
        <v>3.77</v>
      </c>
    </row>
    <row r="50" spans="1:15" x14ac:dyDescent="0.2">
      <c r="A50" s="7" t="s">
        <v>217</v>
      </c>
      <c r="B50" s="8" t="s">
        <v>218</v>
      </c>
      <c r="C50" s="8" t="s">
        <v>125</v>
      </c>
      <c r="D50" s="8" t="s">
        <v>126</v>
      </c>
      <c r="E50" s="8">
        <v>30.5</v>
      </c>
      <c r="F50" s="8">
        <v>35</v>
      </c>
      <c r="G50" s="8" t="s">
        <v>292</v>
      </c>
      <c r="H50" s="8">
        <v>24.23</v>
      </c>
      <c r="I50" s="9">
        <v>17.12</v>
      </c>
      <c r="J50" s="9">
        <v>23.54</v>
      </c>
      <c r="K50" s="9">
        <v>19.82</v>
      </c>
      <c r="L50" s="9">
        <v>39.54</v>
      </c>
      <c r="M50" s="9">
        <v>86.12</v>
      </c>
      <c r="N50" s="8">
        <v>3.19</v>
      </c>
      <c r="O50" s="8">
        <v>2.74</v>
      </c>
    </row>
    <row r="51" spans="1:15" x14ac:dyDescent="0.2">
      <c r="A51" s="7" t="s">
        <v>156</v>
      </c>
      <c r="B51" s="8" t="s">
        <v>157</v>
      </c>
      <c r="C51" s="8" t="s">
        <v>125</v>
      </c>
      <c r="D51" s="8" t="s">
        <v>126</v>
      </c>
      <c r="E51" s="8">
        <v>34.89</v>
      </c>
      <c r="F51" s="8">
        <v>35.950000000000003</v>
      </c>
      <c r="G51" s="8" t="s">
        <v>293</v>
      </c>
      <c r="H51" s="8">
        <v>25.37</v>
      </c>
      <c r="I51" s="9">
        <v>25.61</v>
      </c>
      <c r="J51" s="9"/>
      <c r="K51" s="9">
        <v>44.02</v>
      </c>
      <c r="L51" s="9">
        <v>28.41</v>
      </c>
      <c r="M51" s="9">
        <v>58.35</v>
      </c>
      <c r="N51" s="8">
        <v>1.1200000000000001</v>
      </c>
      <c r="O51" s="8">
        <v>0.78</v>
      </c>
    </row>
    <row r="52" spans="1:15" x14ac:dyDescent="0.2">
      <c r="A52" s="7" t="s">
        <v>294</v>
      </c>
      <c r="B52" s="8" t="s">
        <v>295</v>
      </c>
      <c r="C52" s="8" t="s">
        <v>125</v>
      </c>
      <c r="D52" s="8" t="s">
        <v>126</v>
      </c>
      <c r="E52" s="8"/>
      <c r="F52" s="8">
        <v>38.130000000000003</v>
      </c>
      <c r="G52" s="8" t="s">
        <v>296</v>
      </c>
      <c r="H52" s="8">
        <v>20.28</v>
      </c>
      <c r="I52" s="9">
        <v>-3.16</v>
      </c>
      <c r="J52" s="9">
        <v>-7.7</v>
      </c>
      <c r="K52" s="9">
        <v>-4.0599999999999996</v>
      </c>
      <c r="L52" s="9">
        <v>13.51</v>
      </c>
      <c r="M52" s="9">
        <v>32.630000000000003</v>
      </c>
      <c r="N52" s="8">
        <v>1.35</v>
      </c>
      <c r="O52" s="8">
        <v>1.04</v>
      </c>
    </row>
    <row r="53" spans="1:15" x14ac:dyDescent="0.2">
      <c r="A53" s="7" t="s">
        <v>213</v>
      </c>
      <c r="B53" s="8" t="s">
        <v>214</v>
      </c>
      <c r="C53" s="8" t="s">
        <v>125</v>
      </c>
      <c r="D53" s="8" t="s">
        <v>126</v>
      </c>
      <c r="E53" s="8">
        <v>34.65</v>
      </c>
      <c r="F53" s="8">
        <v>39.159999999999997</v>
      </c>
      <c r="G53" s="8" t="s">
        <v>297</v>
      </c>
      <c r="H53" s="8">
        <v>25.31</v>
      </c>
      <c r="I53" s="9">
        <v>11</v>
      </c>
      <c r="J53" s="9">
        <v>20.97</v>
      </c>
      <c r="K53" s="9">
        <v>13.08</v>
      </c>
      <c r="L53" s="9">
        <v>24.09</v>
      </c>
      <c r="M53" s="9">
        <v>53.72</v>
      </c>
      <c r="N53" s="8">
        <v>2.0499999999999998</v>
      </c>
      <c r="O53" s="8">
        <v>1.56</v>
      </c>
    </row>
    <row r="54" spans="1:15" x14ac:dyDescent="0.2">
      <c r="A54" s="7" t="s">
        <v>219</v>
      </c>
      <c r="B54" s="8" t="s">
        <v>220</v>
      </c>
      <c r="C54" s="8" t="s">
        <v>125</v>
      </c>
      <c r="D54" s="8" t="s">
        <v>126</v>
      </c>
      <c r="E54" s="8">
        <v>62.42</v>
      </c>
      <c r="F54" s="8">
        <v>43.08</v>
      </c>
      <c r="G54" s="8" t="s">
        <v>298</v>
      </c>
      <c r="H54" s="8">
        <v>30.73</v>
      </c>
      <c r="I54" s="9">
        <v>6.95</v>
      </c>
      <c r="J54" s="9">
        <v>9.0299999999999994</v>
      </c>
      <c r="K54" s="9">
        <v>7.63</v>
      </c>
      <c r="L54" s="9">
        <v>22.42</v>
      </c>
      <c r="M54" s="9">
        <v>66.03</v>
      </c>
      <c r="N54" s="8">
        <v>4.55</v>
      </c>
      <c r="O54" s="8">
        <v>3.35</v>
      </c>
    </row>
    <row r="55" spans="1:15" x14ac:dyDescent="0.2">
      <c r="A55" s="7" t="s">
        <v>299</v>
      </c>
      <c r="B55" s="8" t="s">
        <v>300</v>
      </c>
      <c r="C55" s="8" t="s">
        <v>125</v>
      </c>
      <c r="D55" s="8" t="s">
        <v>126</v>
      </c>
      <c r="E55" s="8">
        <v>50.95</v>
      </c>
      <c r="F55" s="8">
        <v>44.34</v>
      </c>
      <c r="G55" s="8" t="s">
        <v>301</v>
      </c>
      <c r="H55" s="8">
        <v>36.57</v>
      </c>
      <c r="I55" s="9">
        <v>12.95</v>
      </c>
      <c r="J55" s="9">
        <v>32.380000000000003</v>
      </c>
      <c r="K55" s="9">
        <v>17.25</v>
      </c>
      <c r="L55" s="9">
        <v>19.87</v>
      </c>
      <c r="M55" s="9">
        <v>66.81</v>
      </c>
      <c r="N55" s="8">
        <v>1.8</v>
      </c>
      <c r="O55" s="8">
        <v>1.4</v>
      </c>
    </row>
    <row r="56" spans="1:15" x14ac:dyDescent="0.2">
      <c r="A56" s="7" t="s">
        <v>143</v>
      </c>
      <c r="B56" s="8" t="s">
        <v>144</v>
      </c>
      <c r="C56" s="8" t="s">
        <v>125</v>
      </c>
      <c r="D56" s="8" t="s">
        <v>126</v>
      </c>
      <c r="E56" s="8">
        <v>47.31</v>
      </c>
      <c r="F56" s="8">
        <v>45.25</v>
      </c>
      <c r="G56" s="8" t="s">
        <v>302</v>
      </c>
      <c r="H56" s="8">
        <v>33.619999999999997</v>
      </c>
      <c r="I56" s="9">
        <v>15.3</v>
      </c>
      <c r="J56" s="9">
        <v>17.43</v>
      </c>
      <c r="K56" s="9">
        <v>17.28</v>
      </c>
      <c r="L56" s="9">
        <v>31.28</v>
      </c>
      <c r="M56" s="9">
        <v>66.66</v>
      </c>
      <c r="N56" s="8">
        <v>4.96</v>
      </c>
      <c r="O56" s="8">
        <v>3.91</v>
      </c>
    </row>
    <row r="57" spans="1:15" x14ac:dyDescent="0.2">
      <c r="A57" s="7" t="s">
        <v>221</v>
      </c>
      <c r="B57" s="8" t="s">
        <v>222</v>
      </c>
      <c r="C57" s="8" t="s">
        <v>125</v>
      </c>
      <c r="D57" s="8" t="s">
        <v>126</v>
      </c>
      <c r="E57" s="8">
        <v>48.02</v>
      </c>
      <c r="F57" s="8">
        <v>60.51</v>
      </c>
      <c r="G57" s="8" t="s">
        <v>303</v>
      </c>
      <c r="H57" s="8">
        <v>28.84</v>
      </c>
      <c r="I57" s="9">
        <v>14.07</v>
      </c>
      <c r="J57" s="9">
        <v>19.09</v>
      </c>
      <c r="K57" s="9">
        <v>17.2</v>
      </c>
      <c r="L57" s="9">
        <v>21.97</v>
      </c>
      <c r="M57" s="9">
        <v>36.82</v>
      </c>
      <c r="N57" s="8">
        <v>2.82</v>
      </c>
      <c r="O57" s="8">
        <v>2.12</v>
      </c>
    </row>
    <row r="58" spans="1:15" x14ac:dyDescent="0.2">
      <c r="A58" s="7" t="s">
        <v>149</v>
      </c>
      <c r="B58" s="8" t="s">
        <v>304</v>
      </c>
      <c r="C58" s="8" t="s">
        <v>125</v>
      </c>
      <c r="D58" s="8" t="s">
        <v>126</v>
      </c>
      <c r="E58" s="8">
        <v>40.29</v>
      </c>
      <c r="F58" s="8">
        <v>61.36</v>
      </c>
      <c r="G58" s="8" t="s">
        <v>305</v>
      </c>
      <c r="H58" s="8">
        <v>27.87</v>
      </c>
      <c r="I58" s="9">
        <v>21.96</v>
      </c>
      <c r="J58" s="9">
        <v>102.43</v>
      </c>
      <c r="K58" s="9">
        <v>32.68</v>
      </c>
      <c r="L58" s="9">
        <v>49.72</v>
      </c>
      <c r="M58" s="9">
        <v>83.4</v>
      </c>
      <c r="N58" s="8">
        <v>1.35</v>
      </c>
      <c r="O58" s="8">
        <v>1</v>
      </c>
    </row>
    <row r="59" spans="1:15" x14ac:dyDescent="0.2">
      <c r="A59" s="7" t="s">
        <v>223</v>
      </c>
      <c r="B59" s="8" t="s">
        <v>224</v>
      </c>
      <c r="C59" s="8" t="s">
        <v>125</v>
      </c>
      <c r="D59" s="8" t="s">
        <v>126</v>
      </c>
      <c r="E59" s="8">
        <v>110.08</v>
      </c>
      <c r="F59" s="8">
        <v>115.46</v>
      </c>
      <c r="G59" s="8" t="s">
        <v>306</v>
      </c>
      <c r="H59" s="8">
        <v>41.48</v>
      </c>
      <c r="I59" s="9">
        <v>1.1299999999999999</v>
      </c>
      <c r="J59" s="9">
        <v>1.91</v>
      </c>
      <c r="K59" s="9">
        <v>0.81</v>
      </c>
      <c r="L59" s="9">
        <v>11.83</v>
      </c>
      <c r="M59" s="9">
        <v>41.95</v>
      </c>
      <c r="N59" s="8">
        <v>1.86</v>
      </c>
      <c r="O59" s="8">
        <v>1.29</v>
      </c>
    </row>
    <row r="60" spans="1:15" x14ac:dyDescent="0.2">
      <c r="A60" s="7" t="s">
        <v>307</v>
      </c>
      <c r="B60" s="8" t="s">
        <v>308</v>
      </c>
      <c r="C60" s="8" t="s">
        <v>125</v>
      </c>
      <c r="D60" s="8" t="s">
        <v>126</v>
      </c>
      <c r="E60" s="8"/>
      <c r="F60" s="8"/>
      <c r="G60" s="8" t="s">
        <v>309</v>
      </c>
      <c r="H60" s="8"/>
      <c r="I60" s="9">
        <v>-27.43</v>
      </c>
      <c r="J60" s="9">
        <v>-39</v>
      </c>
      <c r="K60" s="9">
        <v>-39.409999999999997</v>
      </c>
      <c r="L60" s="9">
        <v>-149.01</v>
      </c>
      <c r="M60" s="9">
        <v>12.57</v>
      </c>
      <c r="N60" s="8">
        <v>2.29</v>
      </c>
      <c r="O60" s="8">
        <v>2.1800000000000002</v>
      </c>
    </row>
    <row r="61" spans="1:15" x14ac:dyDescent="0.2">
      <c r="A61" s="7" t="s">
        <v>310</v>
      </c>
      <c r="B61" s="8" t="s">
        <v>311</v>
      </c>
      <c r="C61" s="8" t="s">
        <v>125</v>
      </c>
      <c r="D61" s="8" t="s">
        <v>126</v>
      </c>
      <c r="E61" s="8">
        <v>10.94</v>
      </c>
      <c r="F61" s="8"/>
      <c r="G61" s="8" t="s">
        <v>312</v>
      </c>
      <c r="H61" s="8">
        <v>17</v>
      </c>
      <c r="I61" s="9">
        <v>9.7799999999999994</v>
      </c>
      <c r="J61" s="9">
        <v>33.96</v>
      </c>
      <c r="K61" s="9">
        <v>14.97</v>
      </c>
      <c r="L61" s="9">
        <v>8.48</v>
      </c>
      <c r="M61" s="9">
        <v>55.21</v>
      </c>
      <c r="N61" s="8">
        <v>1.02</v>
      </c>
      <c r="O61" s="8">
        <v>0.74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BE84-B464-A94F-A3C1-236A57097636}">
  <dimension ref="A1:U309"/>
  <sheetViews>
    <sheetView tabSelected="1" workbookViewId="0">
      <selection activeCell="D301" sqref="D301:L310"/>
    </sheetView>
  </sheetViews>
  <sheetFormatPr baseColWidth="10" defaultRowHeight="16" x14ac:dyDescent="0.2"/>
  <cols>
    <col min="1" max="1" width="5.1640625" bestFit="1" customWidth="1"/>
    <col min="2" max="2" width="6.6640625" bestFit="1" customWidth="1"/>
    <col min="3" max="3" width="41.83203125" customWidth="1"/>
    <col min="4" max="4" width="6.1640625" bestFit="1" customWidth="1"/>
    <col min="5" max="5" width="7.1640625" bestFit="1" customWidth="1"/>
    <col min="6" max="6" width="7" bestFit="1" customWidth="1"/>
    <col min="7" max="7" width="7.33203125" bestFit="1" customWidth="1"/>
    <col min="8" max="8" width="6.33203125" bestFit="1" customWidth="1"/>
    <col min="9" max="10" width="7.1640625" bestFit="1" customWidth="1"/>
    <col min="11" max="11" width="9.6640625" bestFit="1" customWidth="1"/>
    <col min="14" max="14" width="37.5" bestFit="1" customWidth="1"/>
  </cols>
  <sheetData>
    <row r="1" spans="1:14" x14ac:dyDescent="0.2">
      <c r="A1" t="s">
        <v>317</v>
      </c>
      <c r="B1" t="s">
        <v>114</v>
      </c>
      <c r="C1" t="s">
        <v>318</v>
      </c>
      <c r="D1" t="s">
        <v>103</v>
      </c>
      <c r="E1" t="s">
        <v>319</v>
      </c>
      <c r="F1" t="s">
        <v>159</v>
      </c>
      <c r="G1" t="s">
        <v>122</v>
      </c>
      <c r="H1" t="s">
        <v>121</v>
      </c>
      <c r="I1" t="s">
        <v>158</v>
      </c>
      <c r="J1" t="s">
        <v>162</v>
      </c>
      <c r="K1" t="s">
        <v>119</v>
      </c>
      <c r="N1" t="s">
        <v>320</v>
      </c>
    </row>
    <row r="2" spans="1:14" x14ac:dyDescent="0.2">
      <c r="A2">
        <v>2022</v>
      </c>
      <c r="B2" t="s">
        <v>145</v>
      </c>
      <c r="C2" s="3" t="s">
        <v>146</v>
      </c>
      <c r="D2">
        <v>11.7</v>
      </c>
      <c r="E2">
        <v>20.67</v>
      </c>
      <c r="F2">
        <v>26.11</v>
      </c>
      <c r="G2">
        <v>1.1200000000000001</v>
      </c>
      <c r="H2">
        <v>1.35</v>
      </c>
      <c r="I2">
        <v>21.91</v>
      </c>
      <c r="J2">
        <v>19.54</v>
      </c>
      <c r="K2">
        <v>14.42</v>
      </c>
    </row>
    <row r="3" spans="1:14" x14ac:dyDescent="0.2">
      <c r="A3">
        <v>2023</v>
      </c>
      <c r="B3" t="s">
        <v>145</v>
      </c>
      <c r="C3" s="3" t="s">
        <v>146</v>
      </c>
      <c r="D3">
        <v>8.86</v>
      </c>
      <c r="E3">
        <v>15.61</v>
      </c>
      <c r="F3">
        <v>26.49</v>
      </c>
      <c r="G3">
        <v>0.81</v>
      </c>
      <c r="H3">
        <v>0.99</v>
      </c>
      <c r="I3">
        <v>26.23</v>
      </c>
      <c r="J3">
        <v>22.2</v>
      </c>
      <c r="K3">
        <v>17.32</v>
      </c>
    </row>
    <row r="4" spans="1:14" x14ac:dyDescent="0.2">
      <c r="A4">
        <v>2024</v>
      </c>
      <c r="B4" t="s">
        <v>145</v>
      </c>
      <c r="C4" s="3" t="s">
        <v>146</v>
      </c>
      <c r="D4">
        <v>7.51</v>
      </c>
      <c r="E4">
        <v>13.28</v>
      </c>
      <c r="F4">
        <v>26.03</v>
      </c>
      <c r="G4">
        <v>0.91</v>
      </c>
      <c r="H4">
        <v>1.1599999999999999</v>
      </c>
      <c r="I4">
        <v>28.32</v>
      </c>
      <c r="J4">
        <v>17.61</v>
      </c>
      <c r="K4">
        <v>13.75</v>
      </c>
    </row>
    <row r="5" spans="1:14" x14ac:dyDescent="0.2">
      <c r="A5">
        <v>2025</v>
      </c>
      <c r="B5" t="s">
        <v>145</v>
      </c>
      <c r="C5" s="3" t="s">
        <v>146</v>
      </c>
      <c r="D5">
        <v>8.09</v>
      </c>
      <c r="E5">
        <v>14.13</v>
      </c>
      <c r="F5">
        <v>23.44</v>
      </c>
      <c r="G5">
        <v>0.86</v>
      </c>
      <c r="H5">
        <v>1.1100000000000001</v>
      </c>
      <c r="I5">
        <v>25.05</v>
      </c>
      <c r="J5">
        <v>14.52</v>
      </c>
      <c r="K5">
        <v>12.94</v>
      </c>
    </row>
    <row r="6" spans="1:14" x14ac:dyDescent="0.2">
      <c r="A6">
        <v>2026</v>
      </c>
      <c r="B6" t="s">
        <v>145</v>
      </c>
      <c r="C6" s="3" t="s">
        <v>146</v>
      </c>
      <c r="D6">
        <v>14.13</v>
      </c>
      <c r="E6">
        <v>23.75</v>
      </c>
      <c r="F6">
        <v>27.74</v>
      </c>
      <c r="G6">
        <v>0.77</v>
      </c>
      <c r="H6">
        <v>1.03</v>
      </c>
      <c r="I6">
        <v>18.82</v>
      </c>
      <c r="J6">
        <v>20.56</v>
      </c>
      <c r="K6">
        <v>15.83</v>
      </c>
    </row>
    <row r="7" spans="1:14" x14ac:dyDescent="0.2">
      <c r="A7">
        <v>2022</v>
      </c>
      <c r="B7" t="s">
        <v>229</v>
      </c>
      <c r="C7" s="3" t="s">
        <v>321</v>
      </c>
      <c r="D7">
        <v>1.8</v>
      </c>
      <c r="E7">
        <v>2.9</v>
      </c>
      <c r="F7">
        <v>2.77</v>
      </c>
      <c r="H7">
        <v>1.1100000000000001</v>
      </c>
      <c r="I7">
        <v>36.119999999999997</v>
      </c>
      <c r="J7">
        <v>11.57</v>
      </c>
      <c r="K7">
        <v>15.81</v>
      </c>
    </row>
    <row r="8" spans="1:14" x14ac:dyDescent="0.2">
      <c r="A8">
        <v>2023</v>
      </c>
      <c r="B8" t="s">
        <v>229</v>
      </c>
      <c r="C8" s="3" t="s">
        <v>321</v>
      </c>
      <c r="D8">
        <v>1.52</v>
      </c>
      <c r="E8">
        <v>2.5499999999999998</v>
      </c>
      <c r="F8">
        <v>2.67</v>
      </c>
      <c r="H8">
        <v>1.06</v>
      </c>
      <c r="I8">
        <v>39.71</v>
      </c>
      <c r="J8">
        <v>7.62</v>
      </c>
      <c r="K8">
        <v>15.64</v>
      </c>
    </row>
    <row r="9" spans="1:14" x14ac:dyDescent="0.2">
      <c r="A9">
        <v>2024</v>
      </c>
      <c r="B9" t="s">
        <v>229</v>
      </c>
      <c r="C9" s="3" t="s">
        <v>321</v>
      </c>
      <c r="D9">
        <v>3.29</v>
      </c>
      <c r="E9">
        <v>6.03</v>
      </c>
      <c r="F9">
        <v>2.35</v>
      </c>
      <c r="H9">
        <v>1.1100000000000001</v>
      </c>
      <c r="I9">
        <v>14.99</v>
      </c>
      <c r="J9">
        <v>5.03</v>
      </c>
      <c r="K9">
        <v>16.940000000000001</v>
      </c>
    </row>
    <row r="10" spans="1:14" x14ac:dyDescent="0.2">
      <c r="A10">
        <v>2025</v>
      </c>
      <c r="B10" t="s">
        <v>229</v>
      </c>
      <c r="C10" s="3" t="s">
        <v>321</v>
      </c>
      <c r="D10">
        <v>3.9</v>
      </c>
      <c r="E10">
        <v>7.34</v>
      </c>
      <c r="F10">
        <v>2.0099999999999998</v>
      </c>
      <c r="H10">
        <v>1.1100000000000001</v>
      </c>
      <c r="I10">
        <v>9.6</v>
      </c>
      <c r="J10">
        <v>206.03</v>
      </c>
      <c r="K10">
        <v>77.95</v>
      </c>
    </row>
    <row r="11" spans="1:14" x14ac:dyDescent="0.2">
      <c r="A11">
        <v>2026</v>
      </c>
      <c r="B11" t="s">
        <v>229</v>
      </c>
      <c r="C11" s="3" t="s">
        <v>321</v>
      </c>
      <c r="D11">
        <v>-8.2799999999999994</v>
      </c>
      <c r="E11">
        <v>-15.99</v>
      </c>
      <c r="F11">
        <v>-0.15</v>
      </c>
      <c r="H11">
        <v>1.1000000000000001</v>
      </c>
      <c r="J11">
        <v>3.99</v>
      </c>
      <c r="K11">
        <v>16.04</v>
      </c>
    </row>
    <row r="12" spans="1:14" x14ac:dyDescent="0.2">
      <c r="A12">
        <v>2022</v>
      </c>
      <c r="B12" t="s">
        <v>163</v>
      </c>
      <c r="C12" s="3" t="s">
        <v>322</v>
      </c>
      <c r="D12">
        <v>5.49</v>
      </c>
      <c r="E12">
        <v>8.09</v>
      </c>
      <c r="F12">
        <v>15.24</v>
      </c>
      <c r="G12">
        <v>1.28</v>
      </c>
      <c r="H12">
        <v>1.32</v>
      </c>
      <c r="I12">
        <v>12.78</v>
      </c>
      <c r="J12">
        <v>6.47</v>
      </c>
      <c r="K12">
        <v>9.16</v>
      </c>
    </row>
    <row r="13" spans="1:14" x14ac:dyDescent="0.2">
      <c r="A13">
        <v>2023</v>
      </c>
      <c r="B13" t="s">
        <v>163</v>
      </c>
      <c r="C13" s="3" t="s">
        <v>322</v>
      </c>
      <c r="D13">
        <v>3.08</v>
      </c>
      <c r="E13">
        <v>4.55</v>
      </c>
      <c r="F13">
        <v>11.31</v>
      </c>
      <c r="G13">
        <v>1.1599999999999999</v>
      </c>
      <c r="H13">
        <v>1.2</v>
      </c>
      <c r="I13">
        <v>13.08</v>
      </c>
      <c r="J13">
        <v>4.5599999999999996</v>
      </c>
      <c r="K13">
        <v>8.4</v>
      </c>
    </row>
    <row r="14" spans="1:14" x14ac:dyDescent="0.2">
      <c r="A14">
        <v>2024</v>
      </c>
      <c r="B14" t="s">
        <v>163</v>
      </c>
      <c r="C14" s="3" t="s">
        <v>322</v>
      </c>
      <c r="D14">
        <v>3.92</v>
      </c>
      <c r="E14">
        <v>5.87</v>
      </c>
      <c r="F14">
        <v>13.19</v>
      </c>
      <c r="G14">
        <v>1.1299999999999999</v>
      </c>
      <c r="H14">
        <v>1.19</v>
      </c>
      <c r="I14">
        <v>14.12</v>
      </c>
      <c r="J14">
        <v>4.7300000000000004</v>
      </c>
      <c r="K14">
        <v>8.25</v>
      </c>
    </row>
    <row r="15" spans="1:14" x14ac:dyDescent="0.2">
      <c r="A15">
        <v>2025</v>
      </c>
      <c r="B15" t="s">
        <v>163</v>
      </c>
      <c r="C15" s="3" t="s">
        <v>322</v>
      </c>
      <c r="D15">
        <v>5.26</v>
      </c>
      <c r="E15">
        <v>8.09</v>
      </c>
      <c r="F15">
        <v>15.25</v>
      </c>
      <c r="G15">
        <v>1.21</v>
      </c>
      <c r="H15">
        <v>1.26</v>
      </c>
      <c r="I15">
        <v>13.94</v>
      </c>
      <c r="J15">
        <v>6.43</v>
      </c>
      <c r="K15">
        <v>8.7899999999999991</v>
      </c>
    </row>
    <row r="16" spans="1:14" x14ac:dyDescent="0.2">
      <c r="A16">
        <v>2026</v>
      </c>
      <c r="B16" t="s">
        <v>163</v>
      </c>
      <c r="C16" s="3" t="s">
        <v>322</v>
      </c>
      <c r="D16">
        <v>4</v>
      </c>
      <c r="E16">
        <v>6.22</v>
      </c>
      <c r="F16">
        <v>14.74</v>
      </c>
      <c r="G16">
        <v>1.24</v>
      </c>
      <c r="H16">
        <v>1.29</v>
      </c>
      <c r="I16">
        <v>11.94</v>
      </c>
      <c r="J16">
        <v>4.57</v>
      </c>
      <c r="K16">
        <v>7.38</v>
      </c>
    </row>
    <row r="17" spans="1:11" x14ac:dyDescent="0.2">
      <c r="A17">
        <v>2022</v>
      </c>
      <c r="B17" s="8" t="s">
        <v>314</v>
      </c>
      <c r="C17" s="8" t="s">
        <v>232</v>
      </c>
      <c r="D17">
        <v>3.56</v>
      </c>
      <c r="E17">
        <v>6.73</v>
      </c>
      <c r="F17">
        <v>4.84</v>
      </c>
      <c r="H17">
        <v>0.83</v>
      </c>
      <c r="I17">
        <v>14.59</v>
      </c>
      <c r="J17">
        <v>10.89</v>
      </c>
      <c r="K17">
        <v>13.32</v>
      </c>
    </row>
    <row r="18" spans="1:11" x14ac:dyDescent="0.2">
      <c r="A18">
        <v>2023</v>
      </c>
      <c r="B18" s="8" t="s">
        <v>314</v>
      </c>
      <c r="C18" s="8" t="s">
        <v>232</v>
      </c>
      <c r="D18">
        <v>4.6100000000000003</v>
      </c>
      <c r="E18">
        <v>8.82</v>
      </c>
      <c r="F18">
        <v>4.49</v>
      </c>
      <c r="H18">
        <v>0.73</v>
      </c>
      <c r="I18">
        <v>15.47</v>
      </c>
      <c r="J18">
        <v>11.98</v>
      </c>
      <c r="K18">
        <v>15.22</v>
      </c>
    </row>
    <row r="19" spans="1:11" x14ac:dyDescent="0.2">
      <c r="A19">
        <v>2024</v>
      </c>
      <c r="B19" s="8" t="s">
        <v>314</v>
      </c>
      <c r="C19" s="8" t="s">
        <v>232</v>
      </c>
      <c r="D19">
        <v>3.59</v>
      </c>
      <c r="E19">
        <v>6.97</v>
      </c>
      <c r="F19">
        <v>4.59</v>
      </c>
      <c r="H19">
        <v>0.77</v>
      </c>
      <c r="I19">
        <v>17.22</v>
      </c>
      <c r="J19">
        <v>7.53</v>
      </c>
      <c r="K19">
        <v>12.35</v>
      </c>
    </row>
    <row r="20" spans="1:11" x14ac:dyDescent="0.2">
      <c r="A20">
        <v>2025</v>
      </c>
      <c r="B20" s="8" t="s">
        <v>314</v>
      </c>
      <c r="C20" s="8" t="s">
        <v>232</v>
      </c>
      <c r="D20">
        <v>2.29</v>
      </c>
      <c r="E20">
        <v>4.74</v>
      </c>
      <c r="F20">
        <v>2.85</v>
      </c>
      <c r="H20">
        <v>0.84</v>
      </c>
      <c r="I20">
        <v>22.77</v>
      </c>
      <c r="J20">
        <v>7.55</v>
      </c>
      <c r="K20">
        <v>11.39</v>
      </c>
    </row>
    <row r="21" spans="1:11" x14ac:dyDescent="0.2">
      <c r="A21">
        <v>2026</v>
      </c>
      <c r="B21" s="8" t="s">
        <v>314</v>
      </c>
      <c r="C21" s="8" t="s">
        <v>232</v>
      </c>
      <c r="D21">
        <v>3.9</v>
      </c>
      <c r="E21">
        <v>8.36</v>
      </c>
      <c r="F21">
        <v>3.72</v>
      </c>
      <c r="H21">
        <v>0.85</v>
      </c>
      <c r="I21">
        <v>12.41</v>
      </c>
      <c r="J21">
        <v>7.7</v>
      </c>
      <c r="K21">
        <v>9.7899999999999991</v>
      </c>
    </row>
    <row r="22" spans="1:11" x14ac:dyDescent="0.2">
      <c r="A22">
        <v>2022</v>
      </c>
      <c r="B22" s="8" t="s">
        <v>233</v>
      </c>
      <c r="C22" s="8" t="s">
        <v>234</v>
      </c>
      <c r="D22">
        <v>3.3</v>
      </c>
      <c r="E22">
        <v>5.41</v>
      </c>
      <c r="F22">
        <v>5.12</v>
      </c>
      <c r="G22">
        <v>0.62</v>
      </c>
      <c r="H22">
        <v>0.88</v>
      </c>
      <c r="I22">
        <v>17.329999999999998</v>
      </c>
      <c r="J22">
        <v>7.51</v>
      </c>
      <c r="K22">
        <v>9.15</v>
      </c>
    </row>
    <row r="23" spans="1:11" x14ac:dyDescent="0.2">
      <c r="A23">
        <v>2023</v>
      </c>
      <c r="B23" s="8" t="s">
        <v>233</v>
      </c>
      <c r="C23" s="8" t="s">
        <v>234</v>
      </c>
      <c r="D23">
        <v>1.81</v>
      </c>
      <c r="E23">
        <v>3.04</v>
      </c>
      <c r="F23">
        <v>5.15</v>
      </c>
      <c r="G23">
        <v>0.67</v>
      </c>
      <c r="H23">
        <v>0.95</v>
      </c>
      <c r="I23">
        <v>28.6</v>
      </c>
      <c r="J23">
        <v>7.62</v>
      </c>
      <c r="K23">
        <v>7.68</v>
      </c>
    </row>
    <row r="24" spans="1:11" x14ac:dyDescent="0.2">
      <c r="A24">
        <v>2024</v>
      </c>
      <c r="B24" s="8" t="s">
        <v>233</v>
      </c>
      <c r="C24" s="8" t="s">
        <v>234</v>
      </c>
      <c r="D24">
        <v>3.38</v>
      </c>
      <c r="E24">
        <v>5.77</v>
      </c>
      <c r="F24">
        <v>4.3499999999999996</v>
      </c>
      <c r="G24">
        <v>0.63</v>
      </c>
      <c r="H24">
        <v>0.86</v>
      </c>
      <c r="I24">
        <v>12.21</v>
      </c>
      <c r="J24">
        <v>7.59</v>
      </c>
      <c r="K24">
        <v>7.62</v>
      </c>
    </row>
    <row r="25" spans="1:11" x14ac:dyDescent="0.2">
      <c r="A25">
        <v>2025</v>
      </c>
      <c r="B25" s="8" t="s">
        <v>233</v>
      </c>
      <c r="C25" s="8" t="s">
        <v>234</v>
      </c>
      <c r="D25">
        <v>1.78</v>
      </c>
      <c r="E25">
        <v>3.05</v>
      </c>
      <c r="F25">
        <v>2.66</v>
      </c>
      <c r="G25">
        <v>0.6</v>
      </c>
      <c r="H25">
        <v>0.81</v>
      </c>
      <c r="I25">
        <v>12.28</v>
      </c>
      <c r="J25">
        <v>6.22</v>
      </c>
      <c r="K25">
        <v>7.71</v>
      </c>
    </row>
    <row r="26" spans="1:11" x14ac:dyDescent="0.2">
      <c r="A26">
        <v>2026</v>
      </c>
      <c r="B26" s="8" t="s">
        <v>233</v>
      </c>
      <c r="C26" s="8" t="s">
        <v>234</v>
      </c>
      <c r="D26">
        <v>0.68</v>
      </c>
      <c r="E26">
        <v>1.18</v>
      </c>
      <c r="F26">
        <v>3.1</v>
      </c>
      <c r="G26">
        <v>0.63</v>
      </c>
      <c r="H26">
        <v>0.84</v>
      </c>
      <c r="I26">
        <v>57.05</v>
      </c>
      <c r="J26">
        <v>9.48</v>
      </c>
      <c r="K26">
        <v>9.08</v>
      </c>
    </row>
    <row r="27" spans="1:11" x14ac:dyDescent="0.2">
      <c r="A27">
        <v>2022</v>
      </c>
      <c r="B27" s="8" t="s">
        <v>236</v>
      </c>
      <c r="C27" s="8" t="s">
        <v>237</v>
      </c>
      <c r="D27">
        <v>-2.1800000000000002</v>
      </c>
      <c r="E27">
        <v>-2.95</v>
      </c>
      <c r="F27">
        <v>9.34</v>
      </c>
      <c r="G27">
        <v>0.7</v>
      </c>
      <c r="H27">
        <v>1.1000000000000001</v>
      </c>
      <c r="J27">
        <v>5.42</v>
      </c>
      <c r="K27">
        <v>7.89</v>
      </c>
    </row>
    <row r="28" spans="1:11" x14ac:dyDescent="0.2">
      <c r="A28">
        <v>2023</v>
      </c>
      <c r="B28" s="8" t="s">
        <v>236</v>
      </c>
      <c r="C28" s="8" t="s">
        <v>237</v>
      </c>
      <c r="D28">
        <v>3.96</v>
      </c>
      <c r="E28">
        <v>5.22</v>
      </c>
      <c r="F28">
        <v>15.51</v>
      </c>
      <c r="G28">
        <v>1.05</v>
      </c>
      <c r="H28">
        <v>1.58</v>
      </c>
      <c r="I28">
        <v>6.52</v>
      </c>
      <c r="J28">
        <v>4.59</v>
      </c>
      <c r="K28">
        <v>5.87</v>
      </c>
    </row>
    <row r="29" spans="1:11" x14ac:dyDescent="0.2">
      <c r="A29">
        <v>2024</v>
      </c>
      <c r="B29" s="8" t="s">
        <v>236</v>
      </c>
      <c r="C29" s="8" t="s">
        <v>237</v>
      </c>
      <c r="D29">
        <v>0.11</v>
      </c>
      <c r="E29">
        <v>0.14000000000000001</v>
      </c>
      <c r="F29">
        <v>13.35</v>
      </c>
      <c r="G29">
        <v>1.1299999999999999</v>
      </c>
      <c r="H29">
        <v>1.57</v>
      </c>
      <c r="I29">
        <v>239.07</v>
      </c>
      <c r="J29">
        <v>4.67</v>
      </c>
      <c r="K29">
        <v>6.37</v>
      </c>
    </row>
    <row r="30" spans="1:11" x14ac:dyDescent="0.2">
      <c r="A30">
        <v>2025</v>
      </c>
      <c r="B30" s="8" t="s">
        <v>236</v>
      </c>
      <c r="C30" s="8" t="s">
        <v>237</v>
      </c>
      <c r="D30">
        <v>-1.42</v>
      </c>
      <c r="E30">
        <v>-1.82</v>
      </c>
      <c r="F30">
        <v>12.65</v>
      </c>
      <c r="G30">
        <v>0.89</v>
      </c>
      <c r="H30">
        <v>1.56</v>
      </c>
      <c r="J30">
        <v>6.45</v>
      </c>
      <c r="K30">
        <v>6.14</v>
      </c>
    </row>
    <row r="31" spans="1:11" x14ac:dyDescent="0.2">
      <c r="A31">
        <v>2026</v>
      </c>
      <c r="B31" s="8" t="s">
        <v>236</v>
      </c>
      <c r="C31" s="8" t="s">
        <v>237</v>
      </c>
      <c r="D31">
        <v>-8.93</v>
      </c>
      <c r="E31">
        <v>-11.67</v>
      </c>
      <c r="F31">
        <v>8.1300000000000008</v>
      </c>
      <c r="G31">
        <v>0.74</v>
      </c>
      <c r="H31">
        <v>1.3</v>
      </c>
      <c r="J31">
        <v>6.29</v>
      </c>
      <c r="K31">
        <v>7.08</v>
      </c>
    </row>
    <row r="32" spans="1:11" x14ac:dyDescent="0.2">
      <c r="A32">
        <v>2022</v>
      </c>
      <c r="B32" s="8" t="s">
        <v>165</v>
      </c>
      <c r="C32" s="8" t="s">
        <v>166</v>
      </c>
      <c r="D32">
        <v>-2.11</v>
      </c>
      <c r="E32">
        <v>-15.62</v>
      </c>
      <c r="F32">
        <v>0.92</v>
      </c>
      <c r="G32">
        <v>0.56999999999999995</v>
      </c>
      <c r="H32">
        <v>1.08</v>
      </c>
      <c r="J32">
        <v>4.67</v>
      </c>
      <c r="K32">
        <v>6.34</v>
      </c>
    </row>
    <row r="33" spans="1:11" x14ac:dyDescent="0.2">
      <c r="A33">
        <v>2023</v>
      </c>
      <c r="B33" s="8" t="s">
        <v>165</v>
      </c>
      <c r="C33" s="8" t="s">
        <v>166</v>
      </c>
      <c r="D33">
        <v>0.76</v>
      </c>
      <c r="E33">
        <v>11.5</v>
      </c>
      <c r="F33">
        <v>0.87</v>
      </c>
      <c r="G33">
        <v>0.52</v>
      </c>
      <c r="H33">
        <v>1</v>
      </c>
      <c r="I33">
        <v>75.09</v>
      </c>
      <c r="J33">
        <v>8.7100000000000009</v>
      </c>
      <c r="K33">
        <v>10.25</v>
      </c>
    </row>
    <row r="34" spans="1:11" x14ac:dyDescent="0.2">
      <c r="A34">
        <v>2024</v>
      </c>
      <c r="B34" s="8" t="s">
        <v>165</v>
      </c>
      <c r="C34" s="8" t="s">
        <v>166</v>
      </c>
      <c r="D34">
        <v>1.92</v>
      </c>
      <c r="E34">
        <v>52</v>
      </c>
      <c r="F34">
        <v>0.95</v>
      </c>
      <c r="G34">
        <v>0.56000000000000005</v>
      </c>
      <c r="H34">
        <v>0.98</v>
      </c>
      <c r="I34">
        <v>28.5</v>
      </c>
      <c r="J34">
        <v>6.46</v>
      </c>
      <c r="K34">
        <v>8.4700000000000006</v>
      </c>
    </row>
    <row r="35" spans="1:11" x14ac:dyDescent="0.2">
      <c r="A35">
        <v>2025</v>
      </c>
      <c r="B35" s="8" t="s">
        <v>165</v>
      </c>
      <c r="C35" s="8" t="s">
        <v>166</v>
      </c>
      <c r="D35">
        <v>3.18</v>
      </c>
      <c r="E35">
        <v>40.57</v>
      </c>
      <c r="F35">
        <v>1.1100000000000001</v>
      </c>
      <c r="G35">
        <v>0.5</v>
      </c>
      <c r="H35">
        <v>0.94</v>
      </c>
      <c r="I35">
        <v>26.04</v>
      </c>
      <c r="J35">
        <v>19.96</v>
      </c>
      <c r="K35">
        <v>13.93</v>
      </c>
    </row>
    <row r="36" spans="1:11" x14ac:dyDescent="0.2">
      <c r="A36">
        <v>2026</v>
      </c>
      <c r="B36" s="8" t="s">
        <v>165</v>
      </c>
      <c r="C36" s="8" t="s">
        <v>166</v>
      </c>
      <c r="D36">
        <v>3.1</v>
      </c>
      <c r="E36">
        <v>31.65</v>
      </c>
      <c r="F36">
        <v>1.28</v>
      </c>
      <c r="G36">
        <v>0.49</v>
      </c>
      <c r="H36">
        <v>0.88</v>
      </c>
      <c r="I36">
        <v>32.85</v>
      </c>
      <c r="J36">
        <v>10.88</v>
      </c>
      <c r="K36">
        <v>14.33</v>
      </c>
    </row>
    <row r="37" spans="1:11" x14ac:dyDescent="0.2">
      <c r="A37">
        <v>2022</v>
      </c>
      <c r="B37" s="8" t="s">
        <v>167</v>
      </c>
      <c r="C37" s="8" t="s">
        <v>168</v>
      </c>
      <c r="D37">
        <v>6.14</v>
      </c>
      <c r="E37">
        <v>8.56</v>
      </c>
      <c r="F37">
        <v>20.57</v>
      </c>
      <c r="G37">
        <v>1.43</v>
      </c>
      <c r="H37">
        <v>1.52</v>
      </c>
      <c r="I37">
        <v>20.010000000000002</v>
      </c>
      <c r="J37">
        <v>8.64</v>
      </c>
      <c r="K37">
        <v>8.24</v>
      </c>
    </row>
    <row r="38" spans="1:11" x14ac:dyDescent="0.2">
      <c r="A38">
        <v>2023</v>
      </c>
      <c r="B38" s="8" t="s">
        <v>167</v>
      </c>
      <c r="C38" s="8" t="s">
        <v>168</v>
      </c>
      <c r="D38">
        <v>6.14</v>
      </c>
      <c r="E38">
        <v>8.8000000000000007</v>
      </c>
      <c r="F38">
        <v>20.079999999999998</v>
      </c>
      <c r="G38">
        <v>1.1399999999999999</v>
      </c>
      <c r="H38">
        <v>1.25</v>
      </c>
      <c r="I38">
        <v>24.4</v>
      </c>
      <c r="J38">
        <v>11.82</v>
      </c>
      <c r="K38">
        <v>9.43</v>
      </c>
    </row>
    <row r="39" spans="1:11" x14ac:dyDescent="0.2">
      <c r="A39">
        <v>2024</v>
      </c>
      <c r="B39" s="8" t="s">
        <v>167</v>
      </c>
      <c r="C39" s="8" t="s">
        <v>168</v>
      </c>
      <c r="D39">
        <v>8.36</v>
      </c>
      <c r="E39">
        <v>11.89</v>
      </c>
      <c r="F39">
        <v>18.82</v>
      </c>
      <c r="G39">
        <v>1.31</v>
      </c>
      <c r="H39">
        <v>1.43</v>
      </c>
      <c r="I39">
        <v>13.29</v>
      </c>
      <c r="J39">
        <v>7.69</v>
      </c>
      <c r="K39">
        <v>7.34</v>
      </c>
    </row>
    <row r="40" spans="1:11" x14ac:dyDescent="0.2">
      <c r="A40">
        <v>2025</v>
      </c>
      <c r="B40" s="8" t="s">
        <v>167</v>
      </c>
      <c r="C40" s="8" t="s">
        <v>168</v>
      </c>
      <c r="D40">
        <v>-9.5299999999999994</v>
      </c>
      <c r="E40">
        <v>-13.46</v>
      </c>
      <c r="F40">
        <v>20</v>
      </c>
      <c r="G40">
        <v>1.1499999999999999</v>
      </c>
      <c r="H40">
        <v>1.25</v>
      </c>
      <c r="J40">
        <v>7.55</v>
      </c>
      <c r="K40">
        <v>7.95</v>
      </c>
    </row>
    <row r="41" spans="1:11" x14ac:dyDescent="0.2">
      <c r="A41">
        <v>2026</v>
      </c>
      <c r="B41" s="8" t="s">
        <v>167</v>
      </c>
      <c r="C41" s="8" t="s">
        <v>168</v>
      </c>
      <c r="D41">
        <v>7.72</v>
      </c>
      <c r="E41">
        <v>10.98</v>
      </c>
      <c r="F41">
        <v>31.37</v>
      </c>
      <c r="G41">
        <v>1.1399999999999999</v>
      </c>
      <c r="H41">
        <v>1.26</v>
      </c>
      <c r="I41">
        <v>15.59</v>
      </c>
      <c r="J41">
        <v>7.77</v>
      </c>
      <c r="K41">
        <v>7.51</v>
      </c>
    </row>
    <row r="42" spans="1:11" x14ac:dyDescent="0.2">
      <c r="A42">
        <v>2022</v>
      </c>
      <c r="B42" s="8" t="s">
        <v>169</v>
      </c>
      <c r="C42" s="8" t="s">
        <v>170</v>
      </c>
      <c r="D42">
        <v>7.45</v>
      </c>
      <c r="E42">
        <v>9.58</v>
      </c>
      <c r="F42">
        <v>10.9</v>
      </c>
      <c r="G42">
        <v>1.04</v>
      </c>
      <c r="H42">
        <v>1.1399999999999999</v>
      </c>
      <c r="I42">
        <v>10.97</v>
      </c>
      <c r="J42">
        <v>12.28</v>
      </c>
      <c r="K42">
        <v>7.87</v>
      </c>
    </row>
    <row r="43" spans="1:11" x14ac:dyDescent="0.2">
      <c r="A43">
        <v>2023</v>
      </c>
      <c r="B43" s="8" t="s">
        <v>169</v>
      </c>
      <c r="C43" s="8" t="s">
        <v>170</v>
      </c>
      <c r="D43">
        <v>5</v>
      </c>
      <c r="E43">
        <v>6.25</v>
      </c>
      <c r="F43">
        <v>7.92</v>
      </c>
      <c r="G43">
        <v>1.21</v>
      </c>
      <c r="H43">
        <v>1.33</v>
      </c>
      <c r="I43">
        <v>15.41</v>
      </c>
      <c r="J43">
        <v>10.44</v>
      </c>
      <c r="K43">
        <v>9.23</v>
      </c>
    </row>
    <row r="44" spans="1:11" x14ac:dyDescent="0.2">
      <c r="A44">
        <v>2024</v>
      </c>
      <c r="B44" s="8" t="s">
        <v>169</v>
      </c>
      <c r="C44" s="8" t="s">
        <v>170</v>
      </c>
      <c r="D44">
        <v>5.08</v>
      </c>
      <c r="E44">
        <v>6.42</v>
      </c>
      <c r="F44">
        <v>8.23</v>
      </c>
      <c r="G44">
        <v>1.29</v>
      </c>
      <c r="H44">
        <v>1.4</v>
      </c>
      <c r="I44">
        <v>14.9</v>
      </c>
      <c r="J44">
        <v>8.43</v>
      </c>
      <c r="K44">
        <v>8.91</v>
      </c>
    </row>
    <row r="45" spans="1:11" x14ac:dyDescent="0.2">
      <c r="A45">
        <v>2025</v>
      </c>
      <c r="B45" s="8" t="s">
        <v>169</v>
      </c>
      <c r="C45" s="8" t="s">
        <v>170</v>
      </c>
      <c r="D45">
        <v>7.82</v>
      </c>
      <c r="E45">
        <v>10.01</v>
      </c>
      <c r="F45">
        <v>10.63</v>
      </c>
      <c r="G45">
        <v>1.17</v>
      </c>
      <c r="H45">
        <v>1.27</v>
      </c>
      <c r="I45">
        <v>10.67</v>
      </c>
      <c r="J45">
        <v>5.89</v>
      </c>
      <c r="K45">
        <v>7.35</v>
      </c>
    </row>
    <row r="46" spans="1:11" x14ac:dyDescent="0.2">
      <c r="A46">
        <v>2026</v>
      </c>
      <c r="B46" s="8" t="s">
        <v>169</v>
      </c>
      <c r="C46" s="8" t="s">
        <v>170</v>
      </c>
      <c r="D46">
        <v>9.66</v>
      </c>
      <c r="E46">
        <v>12.87</v>
      </c>
      <c r="F46">
        <v>11.48</v>
      </c>
      <c r="G46">
        <v>0.98</v>
      </c>
      <c r="H46">
        <v>1.05</v>
      </c>
      <c r="I46">
        <v>9.44</v>
      </c>
      <c r="J46">
        <v>7.54</v>
      </c>
      <c r="K46">
        <v>7.2</v>
      </c>
    </row>
    <row r="47" spans="1:11" x14ac:dyDescent="0.2">
      <c r="A47">
        <v>2022</v>
      </c>
      <c r="B47" s="8" t="s">
        <v>193</v>
      </c>
      <c r="C47" s="8" t="s">
        <v>194</v>
      </c>
      <c r="D47">
        <v>14.81</v>
      </c>
      <c r="E47">
        <v>18.68</v>
      </c>
      <c r="F47">
        <v>36.049999999999997</v>
      </c>
      <c r="G47">
        <v>2.79</v>
      </c>
      <c r="H47">
        <v>3.86</v>
      </c>
      <c r="I47">
        <v>57.11</v>
      </c>
      <c r="J47">
        <v>52.57</v>
      </c>
      <c r="K47">
        <v>36.74</v>
      </c>
    </row>
    <row r="48" spans="1:11" x14ac:dyDescent="0.2">
      <c r="A48">
        <v>2023</v>
      </c>
      <c r="B48" s="8" t="s">
        <v>193</v>
      </c>
      <c r="C48" s="8" t="s">
        <v>194</v>
      </c>
      <c r="D48">
        <v>14.67</v>
      </c>
      <c r="E48">
        <v>18.850000000000001</v>
      </c>
      <c r="F48">
        <v>36.24</v>
      </c>
      <c r="G48">
        <v>1.63</v>
      </c>
      <c r="H48">
        <v>2.37</v>
      </c>
      <c r="I48">
        <v>32.61</v>
      </c>
      <c r="J48">
        <v>36.049999999999997</v>
      </c>
      <c r="K48">
        <v>21.59</v>
      </c>
    </row>
    <row r="49" spans="1:11" x14ac:dyDescent="0.2">
      <c r="A49">
        <v>2024</v>
      </c>
      <c r="B49" s="8" t="s">
        <v>193</v>
      </c>
      <c r="C49" s="8" t="s">
        <v>194</v>
      </c>
      <c r="D49">
        <v>16.05</v>
      </c>
      <c r="E49">
        <v>20.47</v>
      </c>
      <c r="F49">
        <v>35.92</v>
      </c>
      <c r="G49">
        <v>2</v>
      </c>
      <c r="H49">
        <v>3.36</v>
      </c>
      <c r="I49">
        <v>38.92</v>
      </c>
      <c r="J49">
        <v>38.78</v>
      </c>
      <c r="K49">
        <v>26.9</v>
      </c>
    </row>
    <row r="50" spans="1:11" x14ac:dyDescent="0.2">
      <c r="A50">
        <v>2025</v>
      </c>
      <c r="B50" s="8" t="s">
        <v>193</v>
      </c>
      <c r="C50" s="8" t="s">
        <v>194</v>
      </c>
      <c r="D50">
        <v>17.43</v>
      </c>
      <c r="E50">
        <v>22.67</v>
      </c>
      <c r="F50">
        <v>36.65</v>
      </c>
      <c r="G50">
        <v>1.08</v>
      </c>
      <c r="H50">
        <v>1.75</v>
      </c>
      <c r="I50">
        <v>29.81</v>
      </c>
      <c r="J50">
        <v>25.1</v>
      </c>
      <c r="K50">
        <v>20.239999999999998</v>
      </c>
    </row>
    <row r="51" spans="1:11" x14ac:dyDescent="0.2">
      <c r="A51">
        <v>2026</v>
      </c>
      <c r="B51" s="8" t="s">
        <v>193</v>
      </c>
      <c r="C51" s="8" t="s">
        <v>194</v>
      </c>
      <c r="D51">
        <v>18</v>
      </c>
      <c r="E51">
        <v>23.5</v>
      </c>
      <c r="F51">
        <v>38</v>
      </c>
      <c r="G51">
        <v>1.94</v>
      </c>
      <c r="H51">
        <v>3.03</v>
      </c>
      <c r="I51">
        <v>20.89</v>
      </c>
      <c r="J51">
        <v>19.23</v>
      </c>
      <c r="K51">
        <v>15.32</v>
      </c>
    </row>
    <row r="52" spans="1:11" x14ac:dyDescent="0.2">
      <c r="A52">
        <v>2022</v>
      </c>
      <c r="B52" s="8" t="s">
        <v>171</v>
      </c>
      <c r="C52" s="8" t="s">
        <v>172</v>
      </c>
      <c r="D52">
        <v>6.42</v>
      </c>
      <c r="E52">
        <v>8.64</v>
      </c>
      <c r="F52">
        <v>27.54</v>
      </c>
      <c r="G52">
        <v>1.51</v>
      </c>
      <c r="H52">
        <v>1.83</v>
      </c>
      <c r="I52">
        <v>23.07</v>
      </c>
      <c r="J52">
        <v>9.86</v>
      </c>
      <c r="K52">
        <v>11.76</v>
      </c>
    </row>
    <row r="53" spans="1:11" x14ac:dyDescent="0.2">
      <c r="A53">
        <v>2023</v>
      </c>
      <c r="B53" s="8" t="s">
        <v>171</v>
      </c>
      <c r="C53" s="8" t="s">
        <v>172</v>
      </c>
      <c r="D53">
        <v>12.58</v>
      </c>
      <c r="E53">
        <v>16.239999999999998</v>
      </c>
      <c r="F53">
        <v>24.11</v>
      </c>
      <c r="G53">
        <v>2.58</v>
      </c>
      <c r="H53">
        <v>2.99</v>
      </c>
      <c r="I53">
        <v>13.27</v>
      </c>
      <c r="J53">
        <v>29.21</v>
      </c>
      <c r="K53">
        <v>14.97</v>
      </c>
    </row>
    <row r="54" spans="1:11" x14ac:dyDescent="0.2">
      <c r="A54">
        <v>2024</v>
      </c>
      <c r="B54" s="8" t="s">
        <v>171</v>
      </c>
      <c r="C54" s="8" t="s">
        <v>172</v>
      </c>
      <c r="D54">
        <v>4.5199999999999996</v>
      </c>
      <c r="E54">
        <v>5.53</v>
      </c>
      <c r="F54">
        <v>17.32</v>
      </c>
      <c r="G54">
        <v>1.26</v>
      </c>
      <c r="H54">
        <v>2</v>
      </c>
      <c r="I54">
        <v>32.450000000000003</v>
      </c>
      <c r="J54">
        <v>24.35</v>
      </c>
      <c r="K54">
        <v>20.49</v>
      </c>
    </row>
    <row r="55" spans="1:11" x14ac:dyDescent="0.2">
      <c r="A55">
        <v>2025</v>
      </c>
      <c r="B55" s="8" t="s">
        <v>171</v>
      </c>
      <c r="C55" s="8" t="s">
        <v>172</v>
      </c>
      <c r="D55">
        <v>5.95</v>
      </c>
      <c r="E55">
        <v>7.49</v>
      </c>
      <c r="F55">
        <v>22.92</v>
      </c>
      <c r="G55">
        <v>0.9</v>
      </c>
      <c r="H55">
        <v>1.35</v>
      </c>
      <c r="I55">
        <v>13.67</v>
      </c>
      <c r="J55">
        <v>7.76</v>
      </c>
      <c r="K55">
        <v>9.3800000000000008</v>
      </c>
    </row>
    <row r="56" spans="1:11" x14ac:dyDescent="0.2">
      <c r="A56">
        <v>2026</v>
      </c>
      <c r="B56" s="8" t="s">
        <v>171</v>
      </c>
      <c r="C56" s="8" t="s">
        <v>172</v>
      </c>
      <c r="D56">
        <v>4.5</v>
      </c>
      <c r="E56">
        <v>5.57</v>
      </c>
      <c r="F56">
        <v>26.69</v>
      </c>
      <c r="G56">
        <v>2.0299999999999998</v>
      </c>
      <c r="H56">
        <v>2.68</v>
      </c>
      <c r="I56">
        <v>20.02</v>
      </c>
      <c r="J56">
        <v>11.74</v>
      </c>
      <c r="K56">
        <v>8.5299999999999994</v>
      </c>
    </row>
    <row r="57" spans="1:11" x14ac:dyDescent="0.2">
      <c r="A57">
        <v>2022</v>
      </c>
      <c r="B57" s="8" t="s">
        <v>139</v>
      </c>
      <c r="C57" s="8" t="s">
        <v>140</v>
      </c>
      <c r="D57">
        <v>22.17</v>
      </c>
      <c r="E57">
        <v>29.3</v>
      </c>
      <c r="F57">
        <v>21.35</v>
      </c>
      <c r="G57">
        <v>3.62</v>
      </c>
      <c r="H57">
        <v>3.65</v>
      </c>
      <c r="I57">
        <v>17.18</v>
      </c>
      <c r="J57">
        <v>21.75</v>
      </c>
      <c r="K57">
        <v>20.11</v>
      </c>
    </row>
    <row r="58" spans="1:11" x14ac:dyDescent="0.2">
      <c r="A58">
        <v>2023</v>
      </c>
      <c r="B58" s="8" t="s">
        <v>139</v>
      </c>
      <c r="C58" s="8" t="s">
        <v>140</v>
      </c>
      <c r="D58">
        <v>6.28</v>
      </c>
      <c r="E58">
        <v>8.2799999999999994</v>
      </c>
      <c r="F58">
        <v>17.66</v>
      </c>
      <c r="G58">
        <v>3.5</v>
      </c>
      <c r="H58">
        <v>3.54</v>
      </c>
      <c r="I58">
        <v>52.8</v>
      </c>
      <c r="J58">
        <v>18.55</v>
      </c>
      <c r="K58">
        <v>22.15</v>
      </c>
    </row>
    <row r="59" spans="1:11" x14ac:dyDescent="0.2">
      <c r="A59">
        <v>2024</v>
      </c>
      <c r="B59" s="8" t="s">
        <v>139</v>
      </c>
      <c r="C59" s="8" t="s">
        <v>140</v>
      </c>
      <c r="D59">
        <v>9.41</v>
      </c>
      <c r="E59">
        <v>12.39</v>
      </c>
      <c r="F59">
        <v>17.64</v>
      </c>
      <c r="G59">
        <v>3.69</v>
      </c>
      <c r="H59">
        <v>3.75</v>
      </c>
      <c r="I59">
        <v>23.74</v>
      </c>
      <c r="J59">
        <v>28.57</v>
      </c>
      <c r="K59">
        <v>14.38</v>
      </c>
    </row>
    <row r="60" spans="1:11" x14ac:dyDescent="0.2">
      <c r="A60">
        <v>2025</v>
      </c>
      <c r="B60" s="8" t="s">
        <v>139</v>
      </c>
      <c r="C60" s="8" t="s">
        <v>140</v>
      </c>
      <c r="D60">
        <v>0.53</v>
      </c>
      <c r="E60">
        <v>0.75</v>
      </c>
      <c r="F60">
        <v>1.89</v>
      </c>
      <c r="G60">
        <v>1.94</v>
      </c>
      <c r="H60">
        <v>1.97</v>
      </c>
      <c r="I60">
        <v>445.9</v>
      </c>
      <c r="J60">
        <v>43.36</v>
      </c>
      <c r="K60">
        <v>73.33</v>
      </c>
    </row>
    <row r="61" spans="1:11" x14ac:dyDescent="0.2">
      <c r="A61">
        <v>2026</v>
      </c>
      <c r="B61" s="8" t="s">
        <v>139</v>
      </c>
      <c r="C61" s="8" t="s">
        <v>140</v>
      </c>
      <c r="D61">
        <v>20.66</v>
      </c>
      <c r="E61">
        <v>29.54</v>
      </c>
      <c r="F61">
        <v>26.12</v>
      </c>
      <c r="G61">
        <v>3.25</v>
      </c>
      <c r="H61">
        <v>3.32</v>
      </c>
      <c r="I61">
        <v>15.41</v>
      </c>
      <c r="J61">
        <v>14.02</v>
      </c>
      <c r="K61">
        <v>11.33</v>
      </c>
    </row>
    <row r="62" spans="1:11" x14ac:dyDescent="0.2">
      <c r="A62">
        <v>2022</v>
      </c>
      <c r="B62" s="8" t="s">
        <v>242</v>
      </c>
      <c r="C62" s="8" t="s">
        <v>243</v>
      </c>
      <c r="D62">
        <v>6.57</v>
      </c>
      <c r="E62">
        <v>10.95</v>
      </c>
      <c r="F62">
        <v>6.45</v>
      </c>
      <c r="H62">
        <v>1.47</v>
      </c>
      <c r="I62">
        <v>18.739999999999998</v>
      </c>
      <c r="J62">
        <v>13.68</v>
      </c>
      <c r="K62">
        <v>15.29</v>
      </c>
    </row>
    <row r="63" spans="1:11" x14ac:dyDescent="0.2">
      <c r="A63">
        <v>2023</v>
      </c>
      <c r="B63" s="8" t="s">
        <v>242</v>
      </c>
      <c r="C63" s="8" t="s">
        <v>243</v>
      </c>
      <c r="D63">
        <v>5.89</v>
      </c>
      <c r="E63">
        <v>10.039999999999999</v>
      </c>
      <c r="F63">
        <v>5.4</v>
      </c>
      <c r="H63">
        <v>1.4</v>
      </c>
      <c r="I63">
        <v>21.13</v>
      </c>
      <c r="J63">
        <v>14.83</v>
      </c>
      <c r="K63">
        <v>14.71</v>
      </c>
    </row>
    <row r="64" spans="1:11" x14ac:dyDescent="0.2">
      <c r="A64">
        <v>2024</v>
      </c>
      <c r="B64" s="8" t="s">
        <v>242</v>
      </c>
      <c r="C64" s="8" t="s">
        <v>243</v>
      </c>
      <c r="D64">
        <v>5.66</v>
      </c>
      <c r="E64">
        <v>9.76</v>
      </c>
      <c r="F64">
        <v>5.0999999999999996</v>
      </c>
      <c r="H64">
        <v>1.44</v>
      </c>
      <c r="I64">
        <v>18.7</v>
      </c>
      <c r="J64">
        <v>13.89</v>
      </c>
      <c r="K64">
        <v>13.86</v>
      </c>
    </row>
    <row r="65" spans="1:11" x14ac:dyDescent="0.2">
      <c r="A65">
        <v>2025</v>
      </c>
      <c r="B65" s="8" t="s">
        <v>242</v>
      </c>
      <c r="C65" s="8" t="s">
        <v>243</v>
      </c>
      <c r="D65">
        <v>5.3</v>
      </c>
      <c r="E65">
        <v>8.9</v>
      </c>
      <c r="F65">
        <v>5.03</v>
      </c>
      <c r="H65">
        <v>1.45</v>
      </c>
      <c r="I65">
        <v>14.37</v>
      </c>
      <c r="J65">
        <v>14.79</v>
      </c>
      <c r="K65">
        <v>14.07</v>
      </c>
    </row>
    <row r="66" spans="1:11" x14ac:dyDescent="0.2">
      <c r="A66">
        <v>2026</v>
      </c>
      <c r="B66" s="8" t="s">
        <v>242</v>
      </c>
      <c r="C66" s="8" t="s">
        <v>243</v>
      </c>
      <c r="D66">
        <v>4.75</v>
      </c>
      <c r="E66">
        <v>7.74</v>
      </c>
      <c r="F66">
        <v>4.07</v>
      </c>
      <c r="H66">
        <v>1.54</v>
      </c>
      <c r="I66">
        <v>13.91</v>
      </c>
      <c r="J66">
        <v>18.350000000000001</v>
      </c>
      <c r="K66">
        <v>14.33</v>
      </c>
    </row>
    <row r="67" spans="1:11" x14ac:dyDescent="0.2">
      <c r="A67">
        <v>2022</v>
      </c>
      <c r="B67" s="8" t="s">
        <v>183</v>
      </c>
      <c r="C67" s="8" t="s">
        <v>184</v>
      </c>
      <c r="D67">
        <v>3.03</v>
      </c>
      <c r="E67">
        <v>29.23</v>
      </c>
      <c r="F67">
        <v>1.25</v>
      </c>
      <c r="G67">
        <v>0.54</v>
      </c>
      <c r="H67">
        <v>0.94</v>
      </c>
      <c r="I67">
        <v>16.170000000000002</v>
      </c>
      <c r="J67">
        <v>9.34</v>
      </c>
      <c r="K67">
        <v>9.24</v>
      </c>
    </row>
    <row r="68" spans="1:11" x14ac:dyDescent="0.2">
      <c r="A68">
        <v>2023</v>
      </c>
      <c r="B68" s="8" t="s">
        <v>183</v>
      </c>
      <c r="C68" s="8" t="s">
        <v>184</v>
      </c>
      <c r="D68">
        <v>2.98</v>
      </c>
      <c r="E68">
        <v>26.46</v>
      </c>
      <c r="F68">
        <v>1.1499999999999999</v>
      </c>
      <c r="G68">
        <v>0.52</v>
      </c>
      <c r="H68">
        <v>0.91</v>
      </c>
      <c r="I68">
        <v>16.829999999999998</v>
      </c>
      <c r="J68">
        <v>10.57</v>
      </c>
      <c r="K68">
        <v>9</v>
      </c>
    </row>
    <row r="69" spans="1:11" x14ac:dyDescent="0.2">
      <c r="A69">
        <v>2024</v>
      </c>
      <c r="B69" s="8" t="s">
        <v>183</v>
      </c>
      <c r="C69" s="8" t="s">
        <v>184</v>
      </c>
      <c r="D69">
        <v>2.93</v>
      </c>
      <c r="E69">
        <v>32.090000000000003</v>
      </c>
      <c r="F69">
        <v>0.93</v>
      </c>
      <c r="G69">
        <v>0.49</v>
      </c>
      <c r="H69">
        <v>0.88</v>
      </c>
      <c r="I69">
        <v>21.1</v>
      </c>
      <c r="J69">
        <v>9.41</v>
      </c>
      <c r="K69">
        <v>11.43</v>
      </c>
    </row>
    <row r="70" spans="1:11" x14ac:dyDescent="0.2">
      <c r="A70">
        <v>2025</v>
      </c>
      <c r="B70" s="8" t="s">
        <v>183</v>
      </c>
      <c r="C70" s="8" t="s">
        <v>184</v>
      </c>
      <c r="D70">
        <v>2.33</v>
      </c>
      <c r="E70">
        <v>27.24</v>
      </c>
      <c r="F70">
        <v>1.03</v>
      </c>
      <c r="G70">
        <v>0.53</v>
      </c>
      <c r="H70">
        <v>0.88</v>
      </c>
      <c r="I70">
        <v>29.87</v>
      </c>
      <c r="J70">
        <v>12.94</v>
      </c>
      <c r="K70">
        <v>11.17</v>
      </c>
    </row>
    <row r="71" spans="1:11" x14ac:dyDescent="0.2">
      <c r="A71">
        <v>2026</v>
      </c>
      <c r="B71" s="8" t="s">
        <v>183</v>
      </c>
      <c r="C71" s="8" t="s">
        <v>184</v>
      </c>
      <c r="D71">
        <v>2.16</v>
      </c>
      <c r="E71">
        <v>19.48</v>
      </c>
      <c r="F71">
        <v>1.1399999999999999</v>
      </c>
      <c r="G71">
        <v>0.55000000000000004</v>
      </c>
      <c r="H71">
        <v>0.9</v>
      </c>
      <c r="I71">
        <v>39.26</v>
      </c>
      <c r="J71">
        <v>15.74</v>
      </c>
      <c r="K71">
        <v>13.71</v>
      </c>
    </row>
    <row r="72" spans="1:11" x14ac:dyDescent="0.2">
      <c r="A72">
        <v>2022</v>
      </c>
      <c r="B72" s="8" t="s">
        <v>245</v>
      </c>
      <c r="C72" s="8" t="s">
        <v>315</v>
      </c>
      <c r="D72">
        <v>8.3000000000000007</v>
      </c>
      <c r="E72">
        <v>15.29</v>
      </c>
      <c r="F72">
        <v>8.33</v>
      </c>
      <c r="H72">
        <v>0.79</v>
      </c>
      <c r="I72">
        <v>27.77</v>
      </c>
      <c r="J72">
        <v>21.49</v>
      </c>
      <c r="K72">
        <v>19</v>
      </c>
    </row>
    <row r="73" spans="1:11" x14ac:dyDescent="0.2">
      <c r="A73">
        <v>2023</v>
      </c>
      <c r="B73" s="8" t="s">
        <v>245</v>
      </c>
      <c r="C73" s="8" t="s">
        <v>315</v>
      </c>
      <c r="D73">
        <v>8.6300000000000008</v>
      </c>
      <c r="E73">
        <v>15.86</v>
      </c>
      <c r="F73">
        <v>8.77</v>
      </c>
      <c r="H73">
        <v>0.77</v>
      </c>
      <c r="I73">
        <v>25.03</v>
      </c>
      <c r="J73">
        <v>19.22</v>
      </c>
      <c r="K73">
        <v>17.57</v>
      </c>
    </row>
    <row r="74" spans="1:11" x14ac:dyDescent="0.2">
      <c r="A74">
        <v>2024</v>
      </c>
      <c r="B74" s="8" t="s">
        <v>245</v>
      </c>
      <c r="C74" s="8" t="s">
        <v>315</v>
      </c>
      <c r="D74">
        <v>8.4700000000000006</v>
      </c>
      <c r="E74">
        <v>15.6</v>
      </c>
      <c r="F74">
        <v>8.7100000000000009</v>
      </c>
      <c r="H74">
        <v>0.79</v>
      </c>
      <c r="I74">
        <v>22.06</v>
      </c>
      <c r="J74">
        <v>16.989999999999998</v>
      </c>
      <c r="K74">
        <v>16.079999999999998</v>
      </c>
    </row>
    <row r="75" spans="1:11" x14ac:dyDescent="0.2">
      <c r="A75">
        <v>2025</v>
      </c>
      <c r="B75" s="8" t="s">
        <v>245</v>
      </c>
      <c r="C75" s="8" t="s">
        <v>315</v>
      </c>
      <c r="D75">
        <v>4.96</v>
      </c>
      <c r="E75">
        <v>9.01</v>
      </c>
      <c r="F75">
        <v>8.07</v>
      </c>
      <c r="H75">
        <v>0.83</v>
      </c>
      <c r="I75">
        <v>32.619999999999997</v>
      </c>
      <c r="J75">
        <v>19.420000000000002</v>
      </c>
      <c r="K75">
        <v>25.59</v>
      </c>
    </row>
    <row r="76" spans="1:11" x14ac:dyDescent="0.2">
      <c r="A76">
        <v>2026</v>
      </c>
      <c r="B76" s="8" t="s">
        <v>245</v>
      </c>
      <c r="C76" s="8" t="s">
        <v>315</v>
      </c>
      <c r="D76">
        <v>3.92</v>
      </c>
      <c r="E76">
        <v>7.12</v>
      </c>
      <c r="F76">
        <v>4.24</v>
      </c>
      <c r="H76">
        <v>0.79</v>
      </c>
      <c r="I76">
        <v>24.94</v>
      </c>
      <c r="J76">
        <v>15.27</v>
      </c>
      <c r="K76">
        <v>15.33</v>
      </c>
    </row>
    <row r="77" spans="1:11" x14ac:dyDescent="0.2">
      <c r="A77">
        <v>2022</v>
      </c>
      <c r="B77" s="8" t="s">
        <v>175</v>
      </c>
      <c r="C77" s="8" t="s">
        <v>176</v>
      </c>
      <c r="D77">
        <v>1.86</v>
      </c>
      <c r="E77">
        <v>2.3199999999999998</v>
      </c>
      <c r="F77">
        <v>17.68</v>
      </c>
      <c r="G77">
        <v>0.79</v>
      </c>
      <c r="H77">
        <v>1.41</v>
      </c>
      <c r="I77">
        <v>66.55</v>
      </c>
      <c r="J77">
        <v>17.829999999999998</v>
      </c>
      <c r="K77">
        <v>15.58</v>
      </c>
    </row>
    <row r="78" spans="1:11" x14ac:dyDescent="0.2">
      <c r="A78">
        <v>2023</v>
      </c>
      <c r="B78" s="8" t="s">
        <v>175</v>
      </c>
      <c r="C78" s="8" t="s">
        <v>176</v>
      </c>
      <c r="D78">
        <v>1.3</v>
      </c>
      <c r="E78">
        <v>1.63</v>
      </c>
      <c r="F78">
        <v>17.34</v>
      </c>
      <c r="G78">
        <v>0.97</v>
      </c>
      <c r="H78">
        <v>1.88</v>
      </c>
      <c r="I78">
        <v>115.88</v>
      </c>
      <c r="J78">
        <v>20.87</v>
      </c>
      <c r="K78">
        <v>15.09</v>
      </c>
    </row>
    <row r="79" spans="1:11" x14ac:dyDescent="0.2">
      <c r="A79">
        <v>2024</v>
      </c>
      <c r="B79" s="8" t="s">
        <v>175</v>
      </c>
      <c r="C79" s="8" t="s">
        <v>176</v>
      </c>
      <c r="D79">
        <v>4.8099999999999996</v>
      </c>
      <c r="E79">
        <v>5.87</v>
      </c>
      <c r="F79">
        <v>18.760000000000002</v>
      </c>
      <c r="G79">
        <v>0.78</v>
      </c>
      <c r="H79">
        <v>1.61</v>
      </c>
      <c r="I79">
        <v>24.92</v>
      </c>
      <c r="J79">
        <v>16.14</v>
      </c>
      <c r="K79">
        <v>13.2</v>
      </c>
    </row>
    <row r="80" spans="1:11" x14ac:dyDescent="0.2">
      <c r="A80">
        <v>2025</v>
      </c>
      <c r="B80" s="8" t="s">
        <v>175</v>
      </c>
      <c r="C80" s="8" t="s">
        <v>176</v>
      </c>
      <c r="D80">
        <v>4.22</v>
      </c>
      <c r="E80">
        <v>5.09</v>
      </c>
      <c r="F80">
        <v>19.34</v>
      </c>
      <c r="G80">
        <v>0.99</v>
      </c>
      <c r="H80">
        <v>1.91</v>
      </c>
      <c r="I80">
        <v>23.83</v>
      </c>
      <c r="J80">
        <v>14.36</v>
      </c>
      <c r="K80">
        <v>10.97</v>
      </c>
    </row>
    <row r="81" spans="1:11" x14ac:dyDescent="0.2">
      <c r="A81">
        <v>2026</v>
      </c>
      <c r="B81" s="8" t="s">
        <v>175</v>
      </c>
      <c r="C81" s="8" t="s">
        <v>176</v>
      </c>
      <c r="D81">
        <v>3.17</v>
      </c>
      <c r="E81">
        <v>3.73</v>
      </c>
      <c r="F81">
        <v>16.07</v>
      </c>
      <c r="G81">
        <v>1.1000000000000001</v>
      </c>
      <c r="H81">
        <v>1.98</v>
      </c>
      <c r="I81">
        <v>25.34</v>
      </c>
      <c r="J81">
        <v>10.53</v>
      </c>
      <c r="K81">
        <v>10.26</v>
      </c>
    </row>
    <row r="82" spans="1:11" x14ac:dyDescent="0.2">
      <c r="A82">
        <v>2022</v>
      </c>
      <c r="B82" s="8" t="s">
        <v>131</v>
      </c>
      <c r="C82" s="8" t="s">
        <v>132</v>
      </c>
      <c r="D82">
        <v>9.1300000000000008</v>
      </c>
      <c r="E82">
        <v>13.22</v>
      </c>
      <c r="F82">
        <v>32.270000000000003</v>
      </c>
      <c r="G82">
        <v>1.1299999999999999</v>
      </c>
      <c r="H82">
        <v>1.27</v>
      </c>
      <c r="I82">
        <v>14.72</v>
      </c>
      <c r="J82">
        <v>8.0500000000000007</v>
      </c>
      <c r="K82">
        <v>9.0500000000000007</v>
      </c>
    </row>
    <row r="83" spans="1:11" x14ac:dyDescent="0.2">
      <c r="A83">
        <v>2023</v>
      </c>
      <c r="B83" s="8" t="s">
        <v>131</v>
      </c>
      <c r="C83" s="8" t="s">
        <v>132</v>
      </c>
      <c r="D83">
        <v>7</v>
      </c>
      <c r="E83">
        <v>10.1</v>
      </c>
      <c r="F83">
        <v>39.72</v>
      </c>
      <c r="G83">
        <v>1.1499999999999999</v>
      </c>
      <c r="H83">
        <v>1.29</v>
      </c>
      <c r="I83">
        <v>23.59</v>
      </c>
      <c r="J83">
        <v>11.94</v>
      </c>
      <c r="K83">
        <v>9.85</v>
      </c>
    </row>
    <row r="84" spans="1:11" x14ac:dyDescent="0.2">
      <c r="A84">
        <v>2024</v>
      </c>
      <c r="B84" s="8" t="s">
        <v>131</v>
      </c>
      <c r="C84" s="8" t="s">
        <v>132</v>
      </c>
      <c r="D84">
        <v>9.0399999999999991</v>
      </c>
      <c r="E84">
        <v>12.48</v>
      </c>
      <c r="F84">
        <v>36.01</v>
      </c>
      <c r="G84">
        <v>1.27</v>
      </c>
      <c r="H84">
        <v>1.43</v>
      </c>
      <c r="I84">
        <v>17.989999999999998</v>
      </c>
      <c r="J84">
        <v>12.73</v>
      </c>
      <c r="K84">
        <v>9.5299999999999994</v>
      </c>
    </row>
    <row r="85" spans="1:11" x14ac:dyDescent="0.2">
      <c r="A85">
        <v>2025</v>
      </c>
      <c r="B85" s="8" t="s">
        <v>131</v>
      </c>
      <c r="C85" s="8" t="s">
        <v>132</v>
      </c>
      <c r="D85">
        <v>0.79</v>
      </c>
      <c r="E85">
        <v>1.05</v>
      </c>
      <c r="F85">
        <v>37.11</v>
      </c>
      <c r="G85">
        <v>1.45</v>
      </c>
      <c r="H85">
        <v>1.6</v>
      </c>
      <c r="I85">
        <v>241.49</v>
      </c>
      <c r="J85">
        <v>10.71</v>
      </c>
      <c r="K85">
        <v>9.76</v>
      </c>
    </row>
    <row r="86" spans="1:11" x14ac:dyDescent="0.2">
      <c r="A86">
        <v>2026</v>
      </c>
      <c r="B86" s="8" t="s">
        <v>131</v>
      </c>
      <c r="C86" s="8" t="s">
        <v>132</v>
      </c>
      <c r="D86">
        <v>14.42</v>
      </c>
      <c r="E86">
        <v>18.899999999999999</v>
      </c>
      <c r="F86">
        <v>40.15</v>
      </c>
      <c r="G86">
        <v>1.4</v>
      </c>
      <c r="H86">
        <v>1.55</v>
      </c>
      <c r="I86">
        <v>18.100000000000001</v>
      </c>
      <c r="J86">
        <v>15.37</v>
      </c>
      <c r="K86">
        <v>11.61</v>
      </c>
    </row>
    <row r="87" spans="1:11" x14ac:dyDescent="0.2">
      <c r="A87">
        <v>2022</v>
      </c>
      <c r="B87" s="8" t="s">
        <v>261</v>
      </c>
      <c r="C87" s="8" t="s">
        <v>246</v>
      </c>
      <c r="D87">
        <v>4.8</v>
      </c>
      <c r="E87">
        <v>6.15</v>
      </c>
      <c r="F87">
        <v>16.29</v>
      </c>
      <c r="G87">
        <v>1.52</v>
      </c>
      <c r="H87">
        <v>2.09</v>
      </c>
      <c r="I87">
        <v>33.96</v>
      </c>
      <c r="J87">
        <v>19.62</v>
      </c>
      <c r="K87">
        <v>19.63</v>
      </c>
    </row>
    <row r="88" spans="1:11" x14ac:dyDescent="0.2">
      <c r="A88">
        <v>2023</v>
      </c>
      <c r="B88" s="8" t="s">
        <v>261</v>
      </c>
      <c r="C88" s="8" t="s">
        <v>246</v>
      </c>
      <c r="D88">
        <v>-8.6300000000000008</v>
      </c>
      <c r="E88">
        <v>-11.05</v>
      </c>
      <c r="F88">
        <v>11.31</v>
      </c>
      <c r="G88">
        <v>1.1200000000000001</v>
      </c>
      <c r="H88">
        <v>1.69</v>
      </c>
      <c r="J88">
        <v>21.21</v>
      </c>
      <c r="K88">
        <v>13.47</v>
      </c>
    </row>
    <row r="89" spans="1:11" x14ac:dyDescent="0.2">
      <c r="A89">
        <v>2024</v>
      </c>
      <c r="B89" s="8" t="s">
        <v>261</v>
      </c>
      <c r="C89" s="8" t="s">
        <v>246</v>
      </c>
      <c r="D89">
        <v>0.62</v>
      </c>
      <c r="E89">
        <v>0.84</v>
      </c>
      <c r="F89">
        <v>8.7200000000000006</v>
      </c>
      <c r="G89">
        <v>1.18</v>
      </c>
      <c r="H89">
        <v>1.48</v>
      </c>
      <c r="J89">
        <v>11.33</v>
      </c>
      <c r="K89">
        <v>16.059999999999999</v>
      </c>
    </row>
    <row r="90" spans="1:11" x14ac:dyDescent="0.2">
      <c r="A90">
        <v>2025</v>
      </c>
      <c r="B90" s="8" t="s">
        <v>261</v>
      </c>
      <c r="C90" s="8" t="s">
        <v>246</v>
      </c>
      <c r="D90">
        <v>-1.25</v>
      </c>
      <c r="E90">
        <v>-1.79</v>
      </c>
      <c r="F90">
        <v>6.46</v>
      </c>
      <c r="G90">
        <v>1.05</v>
      </c>
      <c r="H90">
        <v>1.36</v>
      </c>
      <c r="J90">
        <v>14.59</v>
      </c>
      <c r="K90">
        <v>15.61</v>
      </c>
    </row>
    <row r="91" spans="1:11" x14ac:dyDescent="0.2">
      <c r="A91">
        <v>2026</v>
      </c>
      <c r="B91" s="8" t="s">
        <v>261</v>
      </c>
      <c r="C91" s="8" t="s">
        <v>246</v>
      </c>
      <c r="D91">
        <v>-3.93</v>
      </c>
      <c r="E91">
        <v>-5.39</v>
      </c>
      <c r="F91">
        <v>6.16</v>
      </c>
      <c r="G91">
        <v>1.56</v>
      </c>
      <c r="H91">
        <v>2.31</v>
      </c>
      <c r="J91">
        <v>11.6</v>
      </c>
      <c r="K91">
        <v>10.33</v>
      </c>
    </row>
    <row r="92" spans="1:11" x14ac:dyDescent="0.2">
      <c r="A92">
        <v>2022</v>
      </c>
      <c r="B92" s="8" t="s">
        <v>181</v>
      </c>
      <c r="C92" s="8" t="s">
        <v>182</v>
      </c>
      <c r="D92">
        <v>13.35</v>
      </c>
      <c r="E92">
        <v>20.62</v>
      </c>
      <c r="F92">
        <v>25.58</v>
      </c>
      <c r="G92">
        <v>1.19</v>
      </c>
      <c r="H92">
        <v>1.4</v>
      </c>
      <c r="I92">
        <v>15.22</v>
      </c>
      <c r="J92">
        <v>10.35</v>
      </c>
      <c r="K92">
        <v>13.27</v>
      </c>
    </row>
    <row r="93" spans="1:11" x14ac:dyDescent="0.2">
      <c r="A93">
        <v>2023</v>
      </c>
      <c r="B93" s="8" t="s">
        <v>181</v>
      </c>
      <c r="C93" s="8" t="s">
        <v>182</v>
      </c>
      <c r="D93">
        <v>16.57</v>
      </c>
      <c r="E93">
        <v>25.39</v>
      </c>
      <c r="F93">
        <v>37.43</v>
      </c>
      <c r="G93">
        <v>1</v>
      </c>
      <c r="H93">
        <v>1.22</v>
      </c>
      <c r="I93">
        <v>9.3699999999999992</v>
      </c>
      <c r="J93">
        <v>8.84</v>
      </c>
      <c r="K93">
        <v>7.21</v>
      </c>
    </row>
    <row r="94" spans="1:11" x14ac:dyDescent="0.2">
      <c r="A94">
        <v>2024</v>
      </c>
      <c r="B94" s="8" t="s">
        <v>181</v>
      </c>
      <c r="C94" s="8" t="s">
        <v>182</v>
      </c>
      <c r="D94">
        <v>1.01</v>
      </c>
      <c r="E94">
        <v>1.5</v>
      </c>
      <c r="F94">
        <v>8.89</v>
      </c>
      <c r="G94">
        <v>0.69</v>
      </c>
      <c r="H94">
        <v>0.91</v>
      </c>
      <c r="I94">
        <v>77.02</v>
      </c>
      <c r="J94">
        <v>18.89</v>
      </c>
      <c r="K94">
        <v>19.329999999999998</v>
      </c>
    </row>
    <row r="95" spans="1:11" x14ac:dyDescent="0.2">
      <c r="A95">
        <v>2025</v>
      </c>
      <c r="B95" s="8" t="s">
        <v>181</v>
      </c>
      <c r="C95" s="8" t="s">
        <v>182</v>
      </c>
      <c r="D95">
        <v>3.65</v>
      </c>
      <c r="E95">
        <v>5.33</v>
      </c>
      <c r="F95">
        <v>25.91</v>
      </c>
      <c r="G95">
        <v>0.92</v>
      </c>
      <c r="H95">
        <v>1.17</v>
      </c>
      <c r="I95">
        <v>18.86</v>
      </c>
      <c r="J95">
        <v>11.87</v>
      </c>
      <c r="K95">
        <v>8.32</v>
      </c>
    </row>
    <row r="96" spans="1:11" x14ac:dyDescent="0.2">
      <c r="A96">
        <v>2026</v>
      </c>
      <c r="B96" s="8" t="s">
        <v>181</v>
      </c>
      <c r="C96" s="8" t="s">
        <v>182</v>
      </c>
      <c r="D96">
        <v>3.67</v>
      </c>
      <c r="E96">
        <v>5.19</v>
      </c>
      <c r="F96">
        <v>27.34</v>
      </c>
      <c r="G96">
        <v>0.87</v>
      </c>
      <c r="H96">
        <v>1.1599999999999999</v>
      </c>
      <c r="I96">
        <v>18.36</v>
      </c>
      <c r="J96">
        <v>12.15</v>
      </c>
      <c r="K96">
        <v>8.18</v>
      </c>
    </row>
    <row r="97" spans="1:14" x14ac:dyDescent="0.2">
      <c r="A97">
        <v>2022</v>
      </c>
      <c r="B97" s="8" t="s">
        <v>150</v>
      </c>
      <c r="C97" s="8" t="s">
        <v>151</v>
      </c>
      <c r="D97">
        <v>1.74</v>
      </c>
      <c r="E97">
        <v>18.010000000000002</v>
      </c>
      <c r="F97">
        <v>1.03</v>
      </c>
      <c r="G97">
        <v>0.56999999999999995</v>
      </c>
      <c r="H97">
        <v>0.95</v>
      </c>
      <c r="I97">
        <v>42.35</v>
      </c>
      <c r="J97">
        <v>10.64</v>
      </c>
      <c r="K97">
        <v>13.32</v>
      </c>
    </row>
    <row r="98" spans="1:14" x14ac:dyDescent="0.2">
      <c r="A98">
        <v>2023</v>
      </c>
      <c r="B98" s="8" t="s">
        <v>150</v>
      </c>
      <c r="C98" s="8" t="s">
        <v>151</v>
      </c>
      <c r="D98">
        <v>5.67</v>
      </c>
      <c r="E98">
        <v>85.39</v>
      </c>
      <c r="F98">
        <v>1.61</v>
      </c>
      <c r="G98">
        <v>0.51</v>
      </c>
      <c r="H98">
        <v>0.92</v>
      </c>
      <c r="I98">
        <v>14.22</v>
      </c>
      <c r="J98">
        <v>9.81</v>
      </c>
      <c r="K98">
        <v>9.7799999999999994</v>
      </c>
    </row>
    <row r="99" spans="1:14" x14ac:dyDescent="0.2">
      <c r="A99">
        <v>2024</v>
      </c>
      <c r="B99" s="8" t="s">
        <v>150</v>
      </c>
      <c r="C99" s="8" t="s">
        <v>151</v>
      </c>
      <c r="D99">
        <v>4.63</v>
      </c>
      <c r="E99">
        <v>64.94</v>
      </c>
      <c r="F99">
        <v>1.27</v>
      </c>
      <c r="G99">
        <v>0.51</v>
      </c>
      <c r="H99">
        <v>0.92</v>
      </c>
      <c r="I99">
        <v>23.98</v>
      </c>
      <c r="J99">
        <v>16.690000000000001</v>
      </c>
      <c r="K99">
        <v>16.09</v>
      </c>
    </row>
    <row r="100" spans="1:14" x14ac:dyDescent="0.2">
      <c r="A100">
        <v>2025</v>
      </c>
      <c r="B100" s="8" t="s">
        <v>150</v>
      </c>
      <c r="C100" s="8" t="s">
        <v>151</v>
      </c>
      <c r="D100">
        <v>4.62</v>
      </c>
      <c r="E100">
        <v>73.709999999999994</v>
      </c>
      <c r="F100">
        <v>1.22</v>
      </c>
      <c r="G100">
        <v>0.53</v>
      </c>
      <c r="H100">
        <v>0.9</v>
      </c>
      <c r="I100">
        <v>26.16</v>
      </c>
      <c r="J100">
        <v>14.17</v>
      </c>
      <c r="K100">
        <v>17.23</v>
      </c>
    </row>
    <row r="101" spans="1:14" x14ac:dyDescent="0.2">
      <c r="A101">
        <v>2026</v>
      </c>
      <c r="B101" s="8" t="s">
        <v>150</v>
      </c>
      <c r="C101" s="8" t="s">
        <v>151</v>
      </c>
      <c r="D101">
        <v>6.05</v>
      </c>
      <c r="E101">
        <v>108.78</v>
      </c>
      <c r="F101">
        <v>1.48</v>
      </c>
      <c r="G101">
        <v>0.49</v>
      </c>
      <c r="H101">
        <v>0.85</v>
      </c>
      <c r="I101">
        <v>22.55</v>
      </c>
      <c r="J101">
        <v>17.45</v>
      </c>
      <c r="K101">
        <v>16.64</v>
      </c>
    </row>
    <row r="102" spans="1:14" x14ac:dyDescent="0.2">
      <c r="A102">
        <v>2022</v>
      </c>
      <c r="B102" s="8" t="s">
        <v>133</v>
      </c>
      <c r="C102" s="8" t="s">
        <v>134</v>
      </c>
      <c r="D102">
        <v>14.16</v>
      </c>
      <c r="E102">
        <v>20.399999999999999</v>
      </c>
      <c r="F102">
        <v>16.47</v>
      </c>
      <c r="G102">
        <v>1.21</v>
      </c>
      <c r="H102">
        <v>1.41</v>
      </c>
      <c r="I102">
        <v>12.14</v>
      </c>
      <c r="J102">
        <v>9.43</v>
      </c>
      <c r="K102">
        <v>9.57</v>
      </c>
    </row>
    <row r="103" spans="1:14" x14ac:dyDescent="0.2">
      <c r="A103">
        <v>2023</v>
      </c>
      <c r="B103" s="8" t="s">
        <v>133</v>
      </c>
      <c r="C103" s="8" t="s">
        <v>134</v>
      </c>
      <c r="D103">
        <v>10.94</v>
      </c>
      <c r="E103">
        <v>15.7</v>
      </c>
      <c r="F103">
        <v>15.03</v>
      </c>
      <c r="G103">
        <v>1.17</v>
      </c>
      <c r="H103">
        <v>1.38</v>
      </c>
      <c r="I103">
        <v>12.53</v>
      </c>
      <c r="J103">
        <v>8.3000000000000007</v>
      </c>
      <c r="K103">
        <v>9.19</v>
      </c>
    </row>
    <row r="104" spans="1:14" x14ac:dyDescent="0.2">
      <c r="A104">
        <v>2024</v>
      </c>
      <c r="B104" s="8" t="s">
        <v>133</v>
      </c>
      <c r="C104" s="8" t="s">
        <v>134</v>
      </c>
      <c r="D104">
        <v>9.65</v>
      </c>
      <c r="E104">
        <v>14.17</v>
      </c>
      <c r="F104">
        <v>14.82</v>
      </c>
      <c r="G104">
        <v>1.02</v>
      </c>
      <c r="H104">
        <v>1.18</v>
      </c>
      <c r="I104">
        <v>14.27</v>
      </c>
      <c r="J104">
        <v>7.93</v>
      </c>
      <c r="K104">
        <v>9.15</v>
      </c>
    </row>
    <row r="105" spans="1:14" x14ac:dyDescent="0.2">
      <c r="A105">
        <v>2025</v>
      </c>
      <c r="B105" s="8" t="s">
        <v>133</v>
      </c>
      <c r="C105" s="8" t="s">
        <v>134</v>
      </c>
      <c r="D105">
        <v>9.9499999999999993</v>
      </c>
      <c r="E105">
        <v>15.36</v>
      </c>
      <c r="F105">
        <v>14.94</v>
      </c>
      <c r="G105">
        <v>0.97</v>
      </c>
      <c r="H105">
        <v>1.08</v>
      </c>
      <c r="I105">
        <v>13.64</v>
      </c>
      <c r="J105">
        <v>7.47</v>
      </c>
      <c r="K105">
        <v>8.85</v>
      </c>
    </row>
    <row r="106" spans="1:14" x14ac:dyDescent="0.2">
      <c r="A106">
        <v>2026</v>
      </c>
      <c r="B106" s="8" t="s">
        <v>133</v>
      </c>
      <c r="C106" s="8" t="s">
        <v>134</v>
      </c>
      <c r="D106">
        <v>11.28</v>
      </c>
      <c r="E106">
        <v>18.059999999999999</v>
      </c>
      <c r="F106">
        <v>15.83</v>
      </c>
      <c r="G106">
        <v>0.86</v>
      </c>
      <c r="H106">
        <v>0.97</v>
      </c>
      <c r="I106">
        <v>16.48</v>
      </c>
      <c r="J106">
        <v>8.85</v>
      </c>
      <c r="K106">
        <v>10.36</v>
      </c>
    </row>
    <row r="107" spans="1:14" x14ac:dyDescent="0.2">
      <c r="A107">
        <v>2022</v>
      </c>
      <c r="B107" s="8" t="s">
        <v>204</v>
      </c>
      <c r="C107" s="8" t="s">
        <v>205</v>
      </c>
      <c r="D107">
        <v>36.03</v>
      </c>
      <c r="E107" s="2">
        <v>42.02</v>
      </c>
      <c r="F107" s="10">
        <v>17.97</v>
      </c>
      <c r="G107" s="10">
        <v>1.2</v>
      </c>
      <c r="H107" s="10">
        <v>2</v>
      </c>
      <c r="I107" s="10">
        <v>7.05</v>
      </c>
      <c r="J107" s="10">
        <v>28.11</v>
      </c>
      <c r="K107" s="10">
        <v>25.57</v>
      </c>
    </row>
    <row r="108" spans="1:14" x14ac:dyDescent="0.2">
      <c r="A108">
        <v>2023</v>
      </c>
      <c r="B108" s="8" t="s">
        <v>204</v>
      </c>
      <c r="C108" s="8" t="s">
        <v>205</v>
      </c>
      <c r="D108">
        <v>3.66</v>
      </c>
      <c r="E108" s="2">
        <v>4.22</v>
      </c>
      <c r="F108" s="10">
        <v>16.66</v>
      </c>
      <c r="G108" s="10">
        <v>0.71</v>
      </c>
      <c r="H108" s="10">
        <v>1.2</v>
      </c>
      <c r="I108" s="10">
        <v>35.22</v>
      </c>
      <c r="J108" s="10">
        <v>19.62</v>
      </c>
      <c r="K108" s="10">
        <v>17.440000000000001</v>
      </c>
      <c r="L108" s="10"/>
      <c r="M108" s="10"/>
      <c r="N108" s="10"/>
    </row>
    <row r="109" spans="1:14" x14ac:dyDescent="0.2">
      <c r="A109">
        <v>2024</v>
      </c>
      <c r="B109" s="8" t="s">
        <v>204</v>
      </c>
      <c r="C109" s="8" t="s">
        <v>205</v>
      </c>
      <c r="D109">
        <v>2.54</v>
      </c>
      <c r="E109" s="2">
        <v>3.71</v>
      </c>
      <c r="F109" s="10">
        <v>13.95</v>
      </c>
      <c r="G109" s="10">
        <v>1</v>
      </c>
      <c r="H109" s="10">
        <v>1.76</v>
      </c>
      <c r="I109" s="10">
        <v>52.77</v>
      </c>
      <c r="J109" s="10">
        <v>25.56</v>
      </c>
      <c r="K109" s="10">
        <v>19.77</v>
      </c>
    </row>
    <row r="110" spans="1:14" x14ac:dyDescent="0.2">
      <c r="A110">
        <v>2025</v>
      </c>
      <c r="B110" s="8" t="s">
        <v>204</v>
      </c>
      <c r="C110" s="8" t="s">
        <v>205</v>
      </c>
      <c r="D110">
        <v>3.27</v>
      </c>
      <c r="E110" s="2">
        <v>3.71</v>
      </c>
      <c r="F110" s="10">
        <v>18.12</v>
      </c>
      <c r="G110" s="10">
        <v>1.1200000000000001</v>
      </c>
      <c r="H110" s="10">
        <v>1.91</v>
      </c>
      <c r="I110" s="10">
        <v>53.47</v>
      </c>
      <c r="J110" s="10">
        <v>29.58</v>
      </c>
      <c r="K110" s="10">
        <v>20.95</v>
      </c>
    </row>
    <row r="111" spans="1:14" x14ac:dyDescent="0.2">
      <c r="A111">
        <v>2026</v>
      </c>
      <c r="B111" s="8" t="s">
        <v>204</v>
      </c>
      <c r="C111" s="8" t="s">
        <v>205</v>
      </c>
      <c r="D111">
        <v>3.03</v>
      </c>
      <c r="E111" s="2">
        <v>3.44</v>
      </c>
      <c r="F111" s="10">
        <v>16.690000000000001</v>
      </c>
      <c r="G111" s="10">
        <v>1.1299999999999999</v>
      </c>
      <c r="H111" s="10">
        <v>1.89</v>
      </c>
      <c r="I111" s="10">
        <v>37.299999999999997</v>
      </c>
      <c r="J111" s="10">
        <v>17.559999999999999</v>
      </c>
      <c r="K111" s="10">
        <v>14.81</v>
      </c>
    </row>
    <row r="112" spans="1:14" x14ac:dyDescent="0.2">
      <c r="A112">
        <v>2022</v>
      </c>
      <c r="B112" s="8" t="s">
        <v>206</v>
      </c>
      <c r="C112" s="8" t="s">
        <v>207</v>
      </c>
      <c r="D112" s="10">
        <v>14.33</v>
      </c>
      <c r="E112" s="10">
        <v>21.98</v>
      </c>
      <c r="F112" s="10">
        <v>24.7</v>
      </c>
      <c r="G112" s="10">
        <v>1.18</v>
      </c>
      <c r="H112" s="10">
        <v>1.3</v>
      </c>
      <c r="I112" s="10">
        <v>67.819999999999993</v>
      </c>
      <c r="J112" s="10">
        <v>44.65</v>
      </c>
      <c r="K112" s="10">
        <v>46.03</v>
      </c>
    </row>
    <row r="113" spans="1:18" x14ac:dyDescent="0.2">
      <c r="A113">
        <v>2023</v>
      </c>
      <c r="B113" s="8" t="s">
        <v>206</v>
      </c>
      <c r="C113" s="8" t="s">
        <v>207</v>
      </c>
      <c r="D113" s="10">
        <v>6.08</v>
      </c>
      <c r="E113" s="10">
        <v>9.74</v>
      </c>
      <c r="F113" s="10">
        <v>17.510000000000002</v>
      </c>
      <c r="G113" s="10">
        <v>1.08</v>
      </c>
      <c r="H113" s="10">
        <v>1.26</v>
      </c>
      <c r="I113" s="10">
        <v>45.74</v>
      </c>
      <c r="J113" s="10">
        <v>29.08</v>
      </c>
      <c r="K113" s="10">
        <v>19.18</v>
      </c>
      <c r="L113" s="10"/>
      <c r="M113" s="10"/>
      <c r="O113" s="10"/>
    </row>
    <row r="114" spans="1:18" x14ac:dyDescent="0.2">
      <c r="A114">
        <v>2024</v>
      </c>
      <c r="B114" s="8" t="s">
        <v>206</v>
      </c>
      <c r="C114" s="8" t="s">
        <v>207</v>
      </c>
      <c r="D114" s="10">
        <v>7.4</v>
      </c>
      <c r="E114" s="10">
        <v>11.98</v>
      </c>
      <c r="F114" s="10">
        <v>17</v>
      </c>
      <c r="G114" s="10">
        <v>1.04</v>
      </c>
      <c r="H114" s="10">
        <v>1.18</v>
      </c>
      <c r="I114" s="10">
        <v>47.14</v>
      </c>
      <c r="J114" s="10">
        <v>26.7</v>
      </c>
      <c r="K114" s="10">
        <v>25.04</v>
      </c>
      <c r="M114" s="10"/>
      <c r="O114" s="10"/>
      <c r="P114" s="10"/>
      <c r="Q114" s="10"/>
    </row>
    <row r="115" spans="1:18" x14ac:dyDescent="0.2">
      <c r="A115">
        <v>2025</v>
      </c>
      <c r="B115" s="8" t="s">
        <v>206</v>
      </c>
      <c r="C115" s="8" t="s">
        <v>207</v>
      </c>
      <c r="D115" s="10">
        <v>6.85</v>
      </c>
      <c r="E115" s="10">
        <v>10.99</v>
      </c>
      <c r="F115" s="10">
        <v>16.8</v>
      </c>
      <c r="G115" s="10">
        <v>1.1000000000000001</v>
      </c>
      <c r="H115" s="10">
        <v>1.22</v>
      </c>
      <c r="I115" s="10">
        <v>37.11</v>
      </c>
      <c r="J115" s="10">
        <v>21.18</v>
      </c>
      <c r="K115" s="10">
        <v>17.87</v>
      </c>
    </row>
    <row r="116" spans="1:18" x14ac:dyDescent="0.2">
      <c r="A116">
        <v>2026</v>
      </c>
      <c r="B116" s="8" t="s">
        <v>206</v>
      </c>
      <c r="C116" s="8" t="s">
        <v>207</v>
      </c>
      <c r="D116" s="10">
        <v>6.59</v>
      </c>
      <c r="E116" s="10">
        <v>10.17</v>
      </c>
      <c r="F116" s="10">
        <v>17.12</v>
      </c>
      <c r="G116" s="10">
        <v>1.24</v>
      </c>
      <c r="H116" s="10">
        <v>1.36</v>
      </c>
      <c r="I116" s="10">
        <v>27.62</v>
      </c>
      <c r="J116" s="10">
        <v>19.11</v>
      </c>
      <c r="K116" s="10">
        <v>12.03</v>
      </c>
    </row>
    <row r="117" spans="1:18" x14ac:dyDescent="0.2">
      <c r="A117">
        <v>2022</v>
      </c>
      <c r="B117" s="8" t="s">
        <v>135</v>
      </c>
      <c r="C117" s="8" t="s">
        <v>136</v>
      </c>
      <c r="D117" s="10">
        <v>7.68</v>
      </c>
      <c r="E117" s="10">
        <v>14.5</v>
      </c>
      <c r="F117" s="10">
        <v>6.89</v>
      </c>
      <c r="G117" s="10">
        <v>0.86</v>
      </c>
      <c r="H117" s="10">
        <v>1.67</v>
      </c>
      <c r="I117" s="10">
        <v>17.03</v>
      </c>
      <c r="J117" s="10">
        <v>14.97</v>
      </c>
      <c r="K117" s="10">
        <v>11.87</v>
      </c>
      <c r="L117" s="10"/>
      <c r="M117" s="10"/>
      <c r="N117" s="10"/>
    </row>
    <row r="118" spans="1:18" x14ac:dyDescent="0.2">
      <c r="A118">
        <v>2023</v>
      </c>
      <c r="B118" s="8" t="s">
        <v>135</v>
      </c>
      <c r="C118" s="8" t="s">
        <v>136</v>
      </c>
      <c r="D118" s="10">
        <v>6.3</v>
      </c>
      <c r="E118" s="10">
        <v>11.61</v>
      </c>
      <c r="F118" s="10">
        <v>7.42</v>
      </c>
      <c r="G118" s="10">
        <v>0.91</v>
      </c>
      <c r="H118" s="10">
        <v>1.79</v>
      </c>
      <c r="I118" s="10">
        <v>20.45</v>
      </c>
      <c r="J118" s="10">
        <v>18.28</v>
      </c>
      <c r="K118" s="10">
        <v>11.53</v>
      </c>
    </row>
    <row r="119" spans="1:18" x14ac:dyDescent="0.2">
      <c r="A119">
        <v>2024</v>
      </c>
      <c r="B119" s="8" t="s">
        <v>135</v>
      </c>
      <c r="C119" s="8" t="s">
        <v>136</v>
      </c>
      <c r="D119" s="10">
        <v>4.34</v>
      </c>
      <c r="E119" s="10">
        <v>7.8</v>
      </c>
      <c r="F119" s="10">
        <v>5.79</v>
      </c>
      <c r="G119" s="10">
        <v>1</v>
      </c>
      <c r="H119" s="10">
        <v>1.67</v>
      </c>
      <c r="I119" s="10">
        <v>23.98</v>
      </c>
      <c r="J119" s="10">
        <v>19.95</v>
      </c>
      <c r="K119" s="10">
        <v>14.19</v>
      </c>
      <c r="L119" s="10"/>
      <c r="M119" s="10"/>
      <c r="N119" s="10"/>
      <c r="O119" s="10"/>
    </row>
    <row r="120" spans="1:18" x14ac:dyDescent="0.2">
      <c r="A120">
        <v>2025</v>
      </c>
      <c r="B120" s="8" t="s">
        <v>135</v>
      </c>
      <c r="C120" s="8" t="s">
        <v>136</v>
      </c>
      <c r="D120" s="10">
        <v>3.75</v>
      </c>
      <c r="E120" s="10">
        <v>6.85</v>
      </c>
      <c r="F120" s="10">
        <v>5.75</v>
      </c>
      <c r="G120" s="10">
        <v>0.78</v>
      </c>
      <c r="H120" s="10">
        <v>1.42</v>
      </c>
      <c r="I120" s="10">
        <v>23.07</v>
      </c>
      <c r="J120" s="10">
        <v>10.61</v>
      </c>
      <c r="K120" s="10">
        <v>12.53</v>
      </c>
      <c r="L120" s="10"/>
      <c r="M120" s="10"/>
      <c r="N120" s="10"/>
      <c r="O120" s="10"/>
    </row>
    <row r="121" spans="1:18" x14ac:dyDescent="0.2">
      <c r="A121">
        <v>2026</v>
      </c>
      <c r="B121" s="8" t="s">
        <v>135</v>
      </c>
      <c r="C121" s="8" t="s">
        <v>136</v>
      </c>
      <c r="D121" s="10">
        <v>3.71</v>
      </c>
      <c r="E121" s="10">
        <v>7.05</v>
      </c>
      <c r="F121" s="10">
        <v>5.9</v>
      </c>
      <c r="G121" s="10">
        <v>0.76</v>
      </c>
      <c r="H121" s="10">
        <v>1.38</v>
      </c>
      <c r="I121" s="10">
        <v>23.28</v>
      </c>
      <c r="J121" s="10">
        <v>13.01</v>
      </c>
      <c r="K121" s="10">
        <v>12.64</v>
      </c>
      <c r="L121" s="10"/>
      <c r="M121" s="10"/>
      <c r="N121" s="10"/>
      <c r="O121" s="10"/>
      <c r="P121" s="10"/>
    </row>
    <row r="122" spans="1:18" x14ac:dyDescent="0.2">
      <c r="A122">
        <v>2022</v>
      </c>
      <c r="B122" s="8" t="s">
        <v>179</v>
      </c>
      <c r="C122" s="8" t="s">
        <v>180</v>
      </c>
      <c r="D122" s="10">
        <v>14.39</v>
      </c>
      <c r="E122" s="10">
        <v>17.89</v>
      </c>
      <c r="F122" s="10">
        <v>22.65</v>
      </c>
      <c r="G122" s="10">
        <v>1.44</v>
      </c>
      <c r="H122" s="10">
        <v>1.56</v>
      </c>
      <c r="I122" s="10">
        <v>11.14</v>
      </c>
      <c r="J122" s="10">
        <v>9.92</v>
      </c>
      <c r="K122" s="10">
        <v>8.9499999999999993</v>
      </c>
    </row>
    <row r="123" spans="1:18" x14ac:dyDescent="0.2">
      <c r="A123">
        <v>2023</v>
      </c>
      <c r="B123" s="8" t="s">
        <v>179</v>
      </c>
      <c r="C123" s="8" t="s">
        <v>180</v>
      </c>
      <c r="D123" s="10">
        <v>7.12</v>
      </c>
      <c r="E123" s="10">
        <v>8.84</v>
      </c>
      <c r="F123" s="10">
        <v>16.41</v>
      </c>
      <c r="G123" s="10">
        <v>1.1000000000000001</v>
      </c>
      <c r="H123" s="10">
        <v>1.22</v>
      </c>
      <c r="I123" s="10">
        <v>19.600000000000001</v>
      </c>
      <c r="J123" s="10">
        <v>10.75</v>
      </c>
      <c r="K123" s="10">
        <v>10.85</v>
      </c>
    </row>
    <row r="124" spans="1:18" x14ac:dyDescent="0.2">
      <c r="A124">
        <v>2024</v>
      </c>
      <c r="B124" s="8" t="s">
        <v>179</v>
      </c>
      <c r="C124" s="8" t="s">
        <v>180</v>
      </c>
      <c r="D124" s="10">
        <v>6.33</v>
      </c>
      <c r="E124" s="10">
        <v>7.88</v>
      </c>
      <c r="F124" s="10">
        <v>14.6</v>
      </c>
      <c r="G124" s="10">
        <v>1.2</v>
      </c>
      <c r="H124" s="10">
        <v>1.31</v>
      </c>
      <c r="I124" s="10">
        <v>18.329999999999998</v>
      </c>
      <c r="J124" s="10">
        <v>12.25</v>
      </c>
      <c r="K124" s="10">
        <v>11.09</v>
      </c>
      <c r="N124" s="10"/>
      <c r="O124" s="10"/>
      <c r="P124" s="10"/>
      <c r="Q124" s="10"/>
      <c r="R124" s="10"/>
    </row>
    <row r="125" spans="1:18" x14ac:dyDescent="0.2">
      <c r="A125">
        <v>2025</v>
      </c>
      <c r="B125" s="8" t="s">
        <v>179</v>
      </c>
      <c r="C125" s="8" t="s">
        <v>180</v>
      </c>
      <c r="D125" s="10">
        <v>5.74</v>
      </c>
      <c r="E125" s="10">
        <v>7.17</v>
      </c>
      <c r="F125" s="10">
        <v>14.33</v>
      </c>
      <c r="G125" s="10">
        <v>1.02</v>
      </c>
      <c r="H125" s="10">
        <v>1.1000000000000001</v>
      </c>
      <c r="I125" s="10">
        <v>19.690000000000001</v>
      </c>
      <c r="J125" s="10">
        <v>12.78</v>
      </c>
      <c r="K125" s="10">
        <v>12.05</v>
      </c>
      <c r="N125" s="10"/>
      <c r="O125" s="10"/>
      <c r="P125" s="10"/>
      <c r="Q125" s="10"/>
      <c r="R125" s="10"/>
    </row>
    <row r="126" spans="1:18" x14ac:dyDescent="0.2">
      <c r="A126">
        <v>2026</v>
      </c>
      <c r="B126" s="8" t="s">
        <v>179</v>
      </c>
      <c r="C126" s="8" t="s">
        <v>180</v>
      </c>
      <c r="D126" s="10">
        <v>6.1</v>
      </c>
      <c r="E126" s="10">
        <v>7.66</v>
      </c>
      <c r="F126" s="10">
        <v>14.53</v>
      </c>
      <c r="G126" s="10">
        <v>0.96</v>
      </c>
      <c r="H126" s="10">
        <v>1.04</v>
      </c>
      <c r="I126" s="10">
        <v>19.850000000000001</v>
      </c>
      <c r="J126" s="10">
        <v>10.4</v>
      </c>
      <c r="K126" s="10">
        <v>11.59</v>
      </c>
      <c r="L126" s="10"/>
    </row>
    <row r="127" spans="1:18" x14ac:dyDescent="0.2">
      <c r="A127">
        <v>2022</v>
      </c>
      <c r="B127" s="8" t="s">
        <v>200</v>
      </c>
      <c r="C127" s="8" t="s">
        <v>201</v>
      </c>
      <c r="D127" s="10">
        <v>14.39</v>
      </c>
      <c r="E127" s="10">
        <v>17.89</v>
      </c>
      <c r="F127" s="10">
        <v>22.65</v>
      </c>
      <c r="G127" s="10">
        <v>1.44</v>
      </c>
      <c r="H127" s="10">
        <v>1.56</v>
      </c>
      <c r="I127" s="10">
        <v>11.14</v>
      </c>
      <c r="J127" s="10">
        <v>9.92</v>
      </c>
      <c r="K127" s="10">
        <v>8.9499999999999993</v>
      </c>
    </row>
    <row r="128" spans="1:18" x14ac:dyDescent="0.2">
      <c r="A128">
        <v>2023</v>
      </c>
      <c r="B128" s="8" t="s">
        <v>200</v>
      </c>
      <c r="C128" s="8" t="s">
        <v>201</v>
      </c>
      <c r="D128" s="10">
        <v>7.12</v>
      </c>
      <c r="E128" s="10">
        <v>8.84</v>
      </c>
      <c r="F128" s="10">
        <v>16.41</v>
      </c>
      <c r="G128" s="10">
        <v>1.1000000000000001</v>
      </c>
      <c r="H128" s="10">
        <v>1.22</v>
      </c>
      <c r="I128" s="10">
        <v>19.600000000000001</v>
      </c>
      <c r="J128" s="10">
        <v>10.75</v>
      </c>
      <c r="K128" s="10">
        <v>10.85</v>
      </c>
    </row>
    <row r="129" spans="1:15" x14ac:dyDescent="0.2">
      <c r="A129">
        <v>2024</v>
      </c>
      <c r="B129" s="8" t="s">
        <v>200</v>
      </c>
      <c r="C129" s="8" t="s">
        <v>201</v>
      </c>
      <c r="D129" s="10">
        <v>6.33</v>
      </c>
      <c r="E129" s="10">
        <v>7.88</v>
      </c>
      <c r="F129" s="10">
        <v>14.6</v>
      </c>
      <c r="G129" s="10">
        <v>1.2</v>
      </c>
      <c r="H129" s="10">
        <v>1.31</v>
      </c>
      <c r="I129" s="10">
        <v>18.329999999999998</v>
      </c>
      <c r="J129" s="10">
        <v>12.25</v>
      </c>
      <c r="K129" s="10">
        <v>11.09</v>
      </c>
    </row>
    <row r="130" spans="1:15" x14ac:dyDescent="0.2">
      <c r="A130">
        <v>2025</v>
      </c>
      <c r="B130" s="8" t="s">
        <v>200</v>
      </c>
      <c r="C130" s="8" t="s">
        <v>201</v>
      </c>
      <c r="D130" s="10">
        <v>5.74</v>
      </c>
      <c r="E130" s="10">
        <v>7.17</v>
      </c>
      <c r="F130" s="10">
        <v>14.33</v>
      </c>
      <c r="G130" s="10">
        <v>1.02</v>
      </c>
      <c r="H130" s="10">
        <v>1.1000000000000001</v>
      </c>
      <c r="I130" s="10">
        <v>19.690000000000001</v>
      </c>
      <c r="J130" s="10">
        <v>12.78</v>
      </c>
      <c r="K130" s="10">
        <v>12.05</v>
      </c>
    </row>
    <row r="131" spans="1:15" x14ac:dyDescent="0.2">
      <c r="A131">
        <v>2026</v>
      </c>
      <c r="B131" s="8" t="s">
        <v>200</v>
      </c>
      <c r="C131" s="8" t="s">
        <v>201</v>
      </c>
      <c r="D131" s="10">
        <v>6.1</v>
      </c>
      <c r="E131" s="10">
        <v>7.66</v>
      </c>
      <c r="F131" s="10">
        <v>14.53</v>
      </c>
      <c r="G131" s="10">
        <v>0.96</v>
      </c>
      <c r="H131" s="10">
        <v>1.04</v>
      </c>
      <c r="I131" s="10">
        <v>19.850000000000001</v>
      </c>
      <c r="J131" s="10">
        <v>10.4</v>
      </c>
      <c r="K131" s="10">
        <v>11.59</v>
      </c>
    </row>
    <row r="132" spans="1:15" x14ac:dyDescent="0.2">
      <c r="A132">
        <v>2022</v>
      </c>
      <c r="B132" s="8" t="s">
        <v>152</v>
      </c>
      <c r="C132" s="8" t="s">
        <v>153</v>
      </c>
      <c r="D132" s="10">
        <v>5.48</v>
      </c>
      <c r="E132" s="10">
        <v>6.62</v>
      </c>
      <c r="F132" s="10">
        <v>19.53</v>
      </c>
      <c r="G132" s="10">
        <v>1.49</v>
      </c>
      <c r="H132" s="10">
        <v>1.86</v>
      </c>
      <c r="I132" s="10">
        <v>27.99</v>
      </c>
      <c r="J132" s="10">
        <v>19.2</v>
      </c>
      <c r="K132" s="10">
        <v>17.399999999999999</v>
      </c>
      <c r="L132" s="10"/>
      <c r="M132" s="10"/>
      <c r="N132" s="10"/>
      <c r="O132" s="10"/>
    </row>
    <row r="133" spans="1:15" x14ac:dyDescent="0.2">
      <c r="A133">
        <v>2023</v>
      </c>
      <c r="B133" s="8" t="s">
        <v>152</v>
      </c>
      <c r="C133" s="8" t="s">
        <v>153</v>
      </c>
      <c r="D133" s="10">
        <v>4.13</v>
      </c>
      <c r="E133" s="10">
        <v>5</v>
      </c>
      <c r="F133" s="10">
        <v>17.649999999999999</v>
      </c>
      <c r="G133" s="10">
        <v>1.81</v>
      </c>
      <c r="H133" s="10">
        <v>2.39</v>
      </c>
      <c r="I133" s="10">
        <v>32.26</v>
      </c>
      <c r="J133" s="10">
        <v>20.07</v>
      </c>
      <c r="K133" s="10">
        <v>16.79</v>
      </c>
      <c r="L133" s="10"/>
      <c r="M133" s="10"/>
      <c r="N133" s="10"/>
      <c r="O133" s="10"/>
    </row>
    <row r="134" spans="1:15" x14ac:dyDescent="0.2">
      <c r="A134">
        <v>2024</v>
      </c>
      <c r="B134" s="8" t="s">
        <v>152</v>
      </c>
      <c r="C134" s="8" t="s">
        <v>153</v>
      </c>
      <c r="D134" s="10">
        <v>4.0599999999999996</v>
      </c>
      <c r="E134" s="10">
        <v>4.8499999999999996</v>
      </c>
      <c r="F134" s="10">
        <v>17.71</v>
      </c>
      <c r="G134" s="10">
        <v>1.55</v>
      </c>
      <c r="H134" s="10">
        <v>2.0299999999999998</v>
      </c>
      <c r="I134" s="10">
        <v>28.85</v>
      </c>
      <c r="J134" s="10">
        <v>15.63</v>
      </c>
      <c r="K134" s="10">
        <v>14.71</v>
      </c>
    </row>
    <row r="135" spans="1:15" x14ac:dyDescent="0.2">
      <c r="A135">
        <v>2025</v>
      </c>
      <c r="B135" s="8" t="s">
        <v>152</v>
      </c>
      <c r="C135" s="8" t="s">
        <v>153</v>
      </c>
      <c r="D135" s="10">
        <v>5.13</v>
      </c>
      <c r="E135" s="10">
        <v>6.23</v>
      </c>
      <c r="F135" s="10">
        <v>18.47</v>
      </c>
      <c r="G135" s="10">
        <v>1.42</v>
      </c>
      <c r="H135" s="10">
        <v>1.85</v>
      </c>
      <c r="I135" s="10">
        <v>23.29</v>
      </c>
      <c r="J135" s="10">
        <v>15.41</v>
      </c>
      <c r="K135" s="10">
        <v>14.18</v>
      </c>
    </row>
    <row r="136" spans="1:15" x14ac:dyDescent="0.2">
      <c r="A136">
        <v>2026</v>
      </c>
      <c r="B136" s="8" t="s">
        <v>152</v>
      </c>
      <c r="C136" s="8" t="s">
        <v>153</v>
      </c>
      <c r="D136" s="10">
        <v>5.2</v>
      </c>
      <c r="E136" s="10">
        <v>6.35</v>
      </c>
      <c r="F136" s="10">
        <v>19.440000000000001</v>
      </c>
      <c r="G136" s="10">
        <v>1.62</v>
      </c>
      <c r="H136" s="10">
        <v>2.13</v>
      </c>
      <c r="I136" s="10">
        <v>22.35</v>
      </c>
      <c r="J136" s="10">
        <v>14.64</v>
      </c>
      <c r="K136" s="10">
        <v>12.63</v>
      </c>
    </row>
    <row r="137" spans="1:15" x14ac:dyDescent="0.2">
      <c r="A137">
        <v>2022</v>
      </c>
      <c r="B137" s="8" t="s">
        <v>129</v>
      </c>
      <c r="C137" s="8" t="s">
        <v>130</v>
      </c>
      <c r="D137" s="10">
        <v>8.82</v>
      </c>
      <c r="E137" s="10">
        <v>13.91</v>
      </c>
      <c r="F137" s="10">
        <v>15.89</v>
      </c>
      <c r="G137" s="10">
        <v>0.68</v>
      </c>
      <c r="H137" s="10">
        <v>0.97</v>
      </c>
    </row>
    <row r="138" spans="1:15" x14ac:dyDescent="0.2">
      <c r="A138">
        <v>2023</v>
      </c>
      <c r="B138" s="8" t="s">
        <v>129</v>
      </c>
      <c r="C138" s="8" t="s">
        <v>130</v>
      </c>
      <c r="D138" s="10">
        <v>7.05</v>
      </c>
      <c r="E138" s="10">
        <v>10.89</v>
      </c>
      <c r="F138" s="10">
        <v>13.98</v>
      </c>
      <c r="G138" s="10">
        <v>0.79</v>
      </c>
      <c r="H138" s="10">
        <v>1.0900000000000001</v>
      </c>
      <c r="I138" s="10">
        <v>13.83</v>
      </c>
      <c r="J138" s="10">
        <v>12.54</v>
      </c>
      <c r="K138" s="10">
        <v>10.5</v>
      </c>
    </row>
    <row r="139" spans="1:15" x14ac:dyDescent="0.2">
      <c r="A139">
        <v>2024</v>
      </c>
      <c r="B139" s="8" t="s">
        <v>129</v>
      </c>
      <c r="C139" s="8" t="s">
        <v>130</v>
      </c>
      <c r="D139" s="10">
        <v>5.24</v>
      </c>
      <c r="E139" s="10">
        <v>9.31</v>
      </c>
      <c r="F139" s="10">
        <v>14.26</v>
      </c>
      <c r="G139" s="10">
        <v>0.78</v>
      </c>
      <c r="H139" s="10">
        <v>1</v>
      </c>
      <c r="I139" s="10">
        <v>25.57</v>
      </c>
      <c r="J139" s="10">
        <v>16.86</v>
      </c>
      <c r="K139" s="10">
        <v>12.53</v>
      </c>
    </row>
    <row r="140" spans="1:15" x14ac:dyDescent="0.2">
      <c r="A140">
        <v>2025</v>
      </c>
      <c r="B140" s="8" t="s">
        <v>129</v>
      </c>
      <c r="C140" s="8" t="s">
        <v>130</v>
      </c>
      <c r="D140" s="10">
        <v>6.08</v>
      </c>
      <c r="E140" s="10">
        <v>12.42</v>
      </c>
      <c r="F140" s="10">
        <v>15.03</v>
      </c>
      <c r="G140" s="10">
        <v>0.79</v>
      </c>
      <c r="H140" s="10">
        <v>1</v>
      </c>
      <c r="I140" s="10">
        <v>18.010000000000002</v>
      </c>
      <c r="J140" s="10">
        <v>18.39</v>
      </c>
      <c r="K140" s="10">
        <v>11.93</v>
      </c>
    </row>
    <row r="141" spans="1:15" x14ac:dyDescent="0.2">
      <c r="A141">
        <v>2026</v>
      </c>
      <c r="B141" s="8" t="s">
        <v>129</v>
      </c>
      <c r="C141" s="8" t="s">
        <v>130</v>
      </c>
      <c r="D141" s="10">
        <v>5.95</v>
      </c>
      <c r="E141" s="10">
        <v>11.45</v>
      </c>
      <c r="F141" s="10">
        <v>14.04</v>
      </c>
      <c r="G141" s="10">
        <v>1.08</v>
      </c>
      <c r="H141" s="10">
        <v>1.33</v>
      </c>
      <c r="I141" s="10">
        <v>18.03</v>
      </c>
      <c r="J141" s="10">
        <v>18.91</v>
      </c>
      <c r="K141" s="10">
        <v>12.47</v>
      </c>
    </row>
    <row r="142" spans="1:15" x14ac:dyDescent="0.2">
      <c r="A142">
        <v>2023</v>
      </c>
      <c r="B142" s="8" t="s">
        <v>185</v>
      </c>
      <c r="C142" s="8" t="s">
        <v>186</v>
      </c>
      <c r="D142" s="10">
        <v>15.87</v>
      </c>
      <c r="E142" s="10">
        <v>19.760000000000002</v>
      </c>
      <c r="F142" s="10">
        <v>27.96</v>
      </c>
      <c r="G142" s="10">
        <v>1.72</v>
      </c>
      <c r="H142" s="10">
        <v>2.8</v>
      </c>
      <c r="I142" s="10">
        <v>39.549999999999997</v>
      </c>
      <c r="J142" s="10">
        <v>87.78</v>
      </c>
      <c r="K142" s="10">
        <v>26.23</v>
      </c>
    </row>
    <row r="143" spans="1:15" x14ac:dyDescent="0.2">
      <c r="A143">
        <v>2024</v>
      </c>
      <c r="B143" s="8" t="s">
        <v>185</v>
      </c>
      <c r="C143" s="8" t="s">
        <v>186</v>
      </c>
      <c r="D143" s="10">
        <v>15.15</v>
      </c>
      <c r="E143" s="10">
        <v>18.09</v>
      </c>
      <c r="F143" s="10">
        <v>27.28</v>
      </c>
      <c r="G143" s="10">
        <v>1.81</v>
      </c>
      <c r="H143" s="10">
        <v>3.12</v>
      </c>
      <c r="I143" s="10">
        <v>35.9</v>
      </c>
      <c r="J143" s="10">
        <v>46.47</v>
      </c>
      <c r="K143" s="10">
        <v>24.79</v>
      </c>
    </row>
    <row r="144" spans="1:15" x14ac:dyDescent="0.2">
      <c r="A144">
        <v>2025</v>
      </c>
      <c r="B144" s="8" t="s">
        <v>185</v>
      </c>
      <c r="C144" s="8" t="s">
        <v>186</v>
      </c>
      <c r="D144" s="10">
        <v>14.99</v>
      </c>
      <c r="E144" s="10">
        <v>17.940000000000001</v>
      </c>
      <c r="F144" s="10">
        <v>29.54</v>
      </c>
      <c r="G144" s="10">
        <v>1.69</v>
      </c>
      <c r="H144" s="10">
        <v>2.59</v>
      </c>
      <c r="I144" s="10">
        <v>27.66</v>
      </c>
      <c r="J144" s="10">
        <v>20.16</v>
      </c>
      <c r="K144" s="10">
        <v>17.940000000000001</v>
      </c>
    </row>
    <row r="145" spans="1:14" x14ac:dyDescent="0.2">
      <c r="A145">
        <v>2026</v>
      </c>
      <c r="B145" s="8" t="s">
        <v>185</v>
      </c>
      <c r="C145" s="8" t="s">
        <v>186</v>
      </c>
      <c r="D145" s="10">
        <v>18.62</v>
      </c>
      <c r="E145" s="10">
        <v>22.44</v>
      </c>
      <c r="F145" s="10">
        <v>32.79</v>
      </c>
      <c r="G145" s="10">
        <v>2.5299999999999998</v>
      </c>
      <c r="H145" s="10">
        <v>3.44</v>
      </c>
      <c r="I145" s="10">
        <v>27.14</v>
      </c>
      <c r="J145" s="10">
        <v>21.7</v>
      </c>
      <c r="K145" s="10">
        <v>19.48</v>
      </c>
    </row>
    <row r="146" spans="1:14" x14ac:dyDescent="0.2">
      <c r="A146">
        <v>2022</v>
      </c>
      <c r="B146" s="8" t="s">
        <v>177</v>
      </c>
      <c r="C146" s="8" t="s">
        <v>178</v>
      </c>
      <c r="D146" s="10">
        <v>2.97</v>
      </c>
      <c r="E146" s="10">
        <v>3.89</v>
      </c>
      <c r="F146" s="10">
        <v>13.76</v>
      </c>
      <c r="G146" s="10">
        <v>0.92</v>
      </c>
      <c r="H146" s="10">
        <v>1.33</v>
      </c>
      <c r="I146" s="10">
        <v>35.86</v>
      </c>
      <c r="J146" s="10">
        <v>15.45</v>
      </c>
      <c r="K146" s="10">
        <v>18.420000000000002</v>
      </c>
    </row>
    <row r="147" spans="1:14" x14ac:dyDescent="0.2">
      <c r="A147">
        <v>2023</v>
      </c>
      <c r="B147" s="8" t="s">
        <v>177</v>
      </c>
      <c r="C147" s="8" t="s">
        <v>178</v>
      </c>
      <c r="D147" s="10">
        <v>3.06</v>
      </c>
      <c r="E147" s="10">
        <v>4.05</v>
      </c>
      <c r="F147" s="10">
        <v>13.33</v>
      </c>
      <c r="G147" s="10">
        <v>0.63</v>
      </c>
      <c r="H147" s="10">
        <v>1.04</v>
      </c>
      <c r="I147" s="10">
        <v>37.909999999999997</v>
      </c>
      <c r="J147" s="10">
        <v>24.31</v>
      </c>
      <c r="K147" s="10">
        <v>17.09</v>
      </c>
    </row>
    <row r="148" spans="1:14" x14ac:dyDescent="0.2">
      <c r="A148">
        <v>2024</v>
      </c>
      <c r="B148" s="8" t="s">
        <v>177</v>
      </c>
      <c r="C148" s="8" t="s">
        <v>178</v>
      </c>
      <c r="D148" s="10">
        <v>2.89</v>
      </c>
      <c r="E148" s="10">
        <v>3.8</v>
      </c>
      <c r="F148" s="10">
        <v>11.34</v>
      </c>
      <c r="G148" s="10">
        <v>0.81</v>
      </c>
      <c r="H148" s="10">
        <v>1.31</v>
      </c>
      <c r="I148" s="10">
        <v>52.36</v>
      </c>
      <c r="J148" s="10">
        <v>24.94</v>
      </c>
      <c r="K148" s="10">
        <v>20.41</v>
      </c>
    </row>
    <row r="149" spans="1:14" x14ac:dyDescent="0.2">
      <c r="A149">
        <v>2025</v>
      </c>
      <c r="B149" s="8" t="s">
        <v>177</v>
      </c>
      <c r="C149" s="8" t="s">
        <v>178</v>
      </c>
      <c r="D149" s="10">
        <v>3.1</v>
      </c>
      <c r="E149" s="10">
        <v>3.99</v>
      </c>
      <c r="F149" s="10">
        <v>15.3</v>
      </c>
      <c r="G149" s="10">
        <v>0.74</v>
      </c>
      <c r="H149" s="10">
        <v>1.17</v>
      </c>
      <c r="I149" s="10">
        <v>41.15</v>
      </c>
      <c r="J149" s="10">
        <v>18.47</v>
      </c>
      <c r="K149" s="10">
        <v>16.82</v>
      </c>
    </row>
    <row r="150" spans="1:14" x14ac:dyDescent="0.2">
      <c r="A150">
        <v>2026</v>
      </c>
      <c r="B150" s="8" t="s">
        <v>177</v>
      </c>
      <c r="C150" s="8" t="s">
        <v>178</v>
      </c>
      <c r="D150" s="10">
        <v>2.98</v>
      </c>
      <c r="E150" s="10">
        <v>3.8</v>
      </c>
      <c r="F150" s="10">
        <v>15.48</v>
      </c>
      <c r="G150" s="10">
        <v>0.64</v>
      </c>
      <c r="H150" s="10">
        <v>1.1100000000000001</v>
      </c>
      <c r="I150" s="10">
        <v>32.18</v>
      </c>
      <c r="J150" s="10">
        <v>15.74</v>
      </c>
      <c r="K150" s="10">
        <v>12.7</v>
      </c>
    </row>
    <row r="151" spans="1:14" x14ac:dyDescent="0.2">
      <c r="A151">
        <v>2022</v>
      </c>
      <c r="B151" s="8" t="s">
        <v>141</v>
      </c>
      <c r="C151" s="8" t="s">
        <v>142</v>
      </c>
      <c r="D151" s="10">
        <v>3.92</v>
      </c>
      <c r="E151" s="10">
        <v>5.16</v>
      </c>
      <c r="F151" s="10">
        <v>10.220000000000001</v>
      </c>
      <c r="G151" s="10">
        <v>0.91</v>
      </c>
      <c r="H151" s="10">
        <v>0.91</v>
      </c>
      <c r="I151" s="10">
        <v>56.95</v>
      </c>
      <c r="J151" s="10">
        <v>18.7</v>
      </c>
      <c r="K151" s="10">
        <v>24.55</v>
      </c>
      <c r="L151" s="10"/>
      <c r="M151" s="10"/>
      <c r="N151" s="10"/>
    </row>
    <row r="152" spans="1:14" x14ac:dyDescent="0.2">
      <c r="A152">
        <v>2023</v>
      </c>
      <c r="B152" s="8" t="s">
        <v>141</v>
      </c>
      <c r="C152" s="8" t="s">
        <v>142</v>
      </c>
      <c r="D152" s="10">
        <v>4.3600000000000003</v>
      </c>
      <c r="E152" s="10">
        <v>5.83</v>
      </c>
      <c r="F152" s="10">
        <v>12.74</v>
      </c>
      <c r="G152" s="10">
        <v>0.89</v>
      </c>
      <c r="H152" s="10">
        <v>0.89</v>
      </c>
      <c r="I152" s="10">
        <v>35.79</v>
      </c>
      <c r="J152" s="10">
        <v>17.28</v>
      </c>
      <c r="K152" s="10">
        <v>17.09</v>
      </c>
      <c r="L152" s="10"/>
      <c r="M152" s="10"/>
      <c r="N152" s="10"/>
    </row>
    <row r="153" spans="1:14" x14ac:dyDescent="0.2">
      <c r="A153">
        <v>2024</v>
      </c>
      <c r="B153" s="8" t="s">
        <v>141</v>
      </c>
      <c r="C153" s="8" t="s">
        <v>142</v>
      </c>
      <c r="D153" s="10">
        <v>5.22</v>
      </c>
      <c r="E153" s="10">
        <v>7.08</v>
      </c>
      <c r="F153" s="10">
        <v>13.63</v>
      </c>
      <c r="G153" s="10">
        <v>0.86</v>
      </c>
      <c r="H153" s="10">
        <v>0.86</v>
      </c>
      <c r="I153" s="10">
        <v>31.74</v>
      </c>
      <c r="J153" s="10">
        <v>20.059999999999999</v>
      </c>
      <c r="K153" s="10">
        <v>17.54</v>
      </c>
    </row>
    <row r="154" spans="1:14" x14ac:dyDescent="0.2">
      <c r="A154">
        <v>2025</v>
      </c>
      <c r="B154" s="8" t="s">
        <v>141</v>
      </c>
      <c r="C154" s="8" t="s">
        <v>142</v>
      </c>
      <c r="D154" s="10">
        <v>5.13</v>
      </c>
      <c r="E154" s="10">
        <v>7.07</v>
      </c>
      <c r="F154" s="10">
        <v>14.73</v>
      </c>
      <c r="G154" s="10">
        <v>0.84</v>
      </c>
      <c r="H154" s="10">
        <v>0.84</v>
      </c>
      <c r="I154" s="10">
        <v>26.25</v>
      </c>
      <c r="J154" s="10">
        <v>13.27</v>
      </c>
      <c r="K154" s="10">
        <v>14.31</v>
      </c>
    </row>
    <row r="155" spans="1:14" x14ac:dyDescent="0.2">
      <c r="A155">
        <v>2026</v>
      </c>
      <c r="B155" s="8" t="s">
        <v>141</v>
      </c>
      <c r="C155" s="8" t="s">
        <v>142</v>
      </c>
      <c r="D155" s="10">
        <v>4.79</v>
      </c>
      <c r="E155" s="10">
        <v>6.78</v>
      </c>
      <c r="F155" s="10">
        <v>13.99</v>
      </c>
      <c r="G155" s="10">
        <v>0.75</v>
      </c>
      <c r="H155" s="10">
        <v>0.75</v>
      </c>
      <c r="I155" s="10">
        <v>28.76</v>
      </c>
      <c r="J155" s="10">
        <v>14.74</v>
      </c>
      <c r="K155" s="10">
        <v>15.49</v>
      </c>
    </row>
    <row r="156" spans="1:14" x14ac:dyDescent="0.2">
      <c r="A156">
        <v>2022</v>
      </c>
      <c r="B156" s="8" t="s">
        <v>147</v>
      </c>
      <c r="C156" s="8" t="s">
        <v>148</v>
      </c>
      <c r="D156" s="10">
        <v>11.75</v>
      </c>
      <c r="E156" s="10">
        <v>14.88</v>
      </c>
      <c r="F156" s="10">
        <v>20.85</v>
      </c>
      <c r="G156" s="10">
        <v>1.77</v>
      </c>
      <c r="H156" s="10">
        <v>1.92</v>
      </c>
      <c r="I156" s="10">
        <v>12.89</v>
      </c>
      <c r="J156" s="10">
        <v>9.85</v>
      </c>
      <c r="K156" s="10">
        <v>8.07</v>
      </c>
    </row>
    <row r="157" spans="1:14" x14ac:dyDescent="0.2">
      <c r="A157">
        <v>2023</v>
      </c>
      <c r="B157" s="8" t="s">
        <v>147</v>
      </c>
      <c r="C157" s="8" t="s">
        <v>148</v>
      </c>
      <c r="D157" s="10">
        <v>4.9400000000000004</v>
      </c>
      <c r="E157" s="10">
        <v>6.21</v>
      </c>
      <c r="F157" s="10">
        <v>14.77</v>
      </c>
      <c r="G157" s="10">
        <v>1.35</v>
      </c>
      <c r="H157" s="10">
        <v>1.5</v>
      </c>
      <c r="I157" s="10">
        <v>16.86</v>
      </c>
      <c r="J157" s="10">
        <v>11.03</v>
      </c>
      <c r="K157" s="10">
        <v>11.66</v>
      </c>
    </row>
    <row r="158" spans="1:14" x14ac:dyDescent="0.2">
      <c r="A158">
        <v>2024</v>
      </c>
      <c r="B158" s="8" t="s">
        <v>147</v>
      </c>
      <c r="C158" s="8" t="s">
        <v>148</v>
      </c>
      <c r="D158" s="10">
        <v>2.06</v>
      </c>
      <c r="E158" s="10">
        <v>2.66</v>
      </c>
      <c r="F158" s="10">
        <v>9.24</v>
      </c>
      <c r="G158" s="10">
        <v>1.02</v>
      </c>
      <c r="H158" s="10">
        <v>1.17</v>
      </c>
      <c r="I158" s="10">
        <v>47.63</v>
      </c>
      <c r="J158" s="10">
        <v>15</v>
      </c>
      <c r="K158" s="10">
        <v>14.39</v>
      </c>
    </row>
    <row r="159" spans="1:14" x14ac:dyDescent="0.2">
      <c r="A159">
        <v>2025</v>
      </c>
      <c r="B159" s="8" t="s">
        <v>147</v>
      </c>
      <c r="C159" s="8" t="s">
        <v>148</v>
      </c>
      <c r="D159" s="10">
        <v>4.25</v>
      </c>
      <c r="E159" s="10">
        <v>5.57</v>
      </c>
      <c r="F159" s="10">
        <v>8.75</v>
      </c>
      <c r="G159" s="10">
        <v>1.3</v>
      </c>
      <c r="H159" s="10">
        <v>1.44</v>
      </c>
      <c r="I159" s="10">
        <v>25.94</v>
      </c>
      <c r="J159" s="10">
        <v>12.2</v>
      </c>
      <c r="K159" s="10">
        <v>11.91</v>
      </c>
    </row>
    <row r="160" spans="1:14" x14ac:dyDescent="0.2">
      <c r="A160">
        <v>2026</v>
      </c>
      <c r="B160" s="8" t="s">
        <v>147</v>
      </c>
      <c r="C160" s="8" t="s">
        <v>148</v>
      </c>
      <c r="D160" s="10">
        <v>4.7699999999999996</v>
      </c>
      <c r="E160" s="10">
        <v>6.13</v>
      </c>
      <c r="F160" s="10">
        <v>10.87</v>
      </c>
      <c r="G160" s="10">
        <v>1.23</v>
      </c>
      <c r="H160" s="10">
        <v>1.42</v>
      </c>
      <c r="I160" s="10">
        <v>23.99</v>
      </c>
      <c r="J160" s="10">
        <v>12.82</v>
      </c>
      <c r="K160" s="10">
        <v>10.56</v>
      </c>
    </row>
    <row r="161" spans="1:15" x14ac:dyDescent="0.2">
      <c r="A161">
        <v>2022</v>
      </c>
      <c r="B161" s="8" t="s">
        <v>189</v>
      </c>
      <c r="C161" s="8" t="s">
        <v>190</v>
      </c>
      <c r="D161" s="10">
        <v>37.909999999999997</v>
      </c>
      <c r="E161" s="10">
        <v>46.85</v>
      </c>
      <c r="F161" s="10">
        <v>55.67</v>
      </c>
      <c r="G161" s="10">
        <v>3.07</v>
      </c>
      <c r="H161" s="10">
        <v>3.56</v>
      </c>
      <c r="I161" s="10">
        <v>8.77</v>
      </c>
      <c r="J161" s="10">
        <v>10.01</v>
      </c>
      <c r="K161" s="10">
        <v>7.35</v>
      </c>
    </row>
    <row r="162" spans="1:15" x14ac:dyDescent="0.2">
      <c r="A162">
        <v>2023</v>
      </c>
      <c r="B162" s="8" t="s">
        <v>189</v>
      </c>
      <c r="C162" s="8" t="s">
        <v>190</v>
      </c>
      <c r="D162" s="10">
        <v>15.86</v>
      </c>
      <c r="E162" s="10">
        <v>18.82</v>
      </c>
      <c r="F162" s="10">
        <v>44.24</v>
      </c>
      <c r="G162" s="10">
        <v>4.29</v>
      </c>
      <c r="H162" s="10">
        <v>5.0599999999999996</v>
      </c>
      <c r="I162" s="10">
        <v>18.88</v>
      </c>
      <c r="J162" s="10">
        <v>16.329999999999998</v>
      </c>
      <c r="K162" s="10">
        <v>13.42</v>
      </c>
      <c r="L162" s="10"/>
      <c r="M162" s="10"/>
      <c r="N162" s="10"/>
      <c r="O162" s="10"/>
    </row>
    <row r="163" spans="1:15" x14ac:dyDescent="0.2">
      <c r="A163">
        <v>2024</v>
      </c>
      <c r="B163" s="8" t="s">
        <v>189</v>
      </c>
      <c r="C163" s="8" t="s">
        <v>190</v>
      </c>
      <c r="D163" s="10">
        <v>12.67</v>
      </c>
      <c r="E163" s="10">
        <v>14.61</v>
      </c>
      <c r="F163" s="10">
        <v>33.15</v>
      </c>
      <c r="G163" s="10">
        <v>4.9400000000000004</v>
      </c>
      <c r="H163" s="10">
        <v>5.69</v>
      </c>
      <c r="I163" s="10">
        <v>25.26</v>
      </c>
      <c r="J163" s="10">
        <v>21.74</v>
      </c>
      <c r="K163" s="10">
        <v>19.23</v>
      </c>
      <c r="L163" s="10"/>
      <c r="M163" s="10"/>
      <c r="N163" s="10"/>
      <c r="O163" s="10"/>
    </row>
    <row r="164" spans="1:15" x14ac:dyDescent="0.2">
      <c r="A164">
        <v>2025</v>
      </c>
      <c r="B164" s="8" t="s">
        <v>189</v>
      </c>
      <c r="C164" s="8" t="s">
        <v>190</v>
      </c>
      <c r="D164" s="10">
        <v>12.43</v>
      </c>
      <c r="E164" s="10">
        <v>14.47</v>
      </c>
      <c r="F164" s="10">
        <v>29.39</v>
      </c>
      <c r="G164" s="10">
        <v>3.95</v>
      </c>
      <c r="H164" s="10">
        <v>4.7300000000000004</v>
      </c>
      <c r="I164" s="10">
        <v>18.579999999999998</v>
      </c>
      <c r="J164" s="10">
        <v>18.55</v>
      </c>
      <c r="K164" s="10">
        <v>16.25</v>
      </c>
    </row>
    <row r="165" spans="1:15" x14ac:dyDescent="0.2">
      <c r="A165">
        <v>2026</v>
      </c>
      <c r="B165" s="8" t="s">
        <v>189</v>
      </c>
      <c r="C165" s="8" t="s">
        <v>190</v>
      </c>
      <c r="D165" s="10">
        <v>11.49</v>
      </c>
      <c r="E165" s="10">
        <v>13.56</v>
      </c>
      <c r="F165" s="10">
        <v>25.81</v>
      </c>
      <c r="G165" s="10">
        <v>3.39</v>
      </c>
      <c r="H165" s="10">
        <v>4.13</v>
      </c>
      <c r="I165" s="10">
        <v>18.61</v>
      </c>
      <c r="J165" s="10">
        <v>16.84</v>
      </c>
      <c r="K165" s="10">
        <v>18.350000000000001</v>
      </c>
    </row>
    <row r="166" spans="1:15" x14ac:dyDescent="0.2">
      <c r="A166">
        <v>2022</v>
      </c>
      <c r="B166" s="8" t="s">
        <v>197</v>
      </c>
      <c r="C166" s="8" t="s">
        <v>208</v>
      </c>
      <c r="D166" s="10">
        <v>9.5</v>
      </c>
      <c r="E166" s="10">
        <v>14.19</v>
      </c>
      <c r="F166" s="10">
        <v>35.22</v>
      </c>
      <c r="G166" s="10">
        <v>1.26</v>
      </c>
      <c r="H166" s="10">
        <v>1.59</v>
      </c>
      <c r="I166" s="10">
        <v>21.87</v>
      </c>
      <c r="J166" s="10">
        <v>13.92</v>
      </c>
      <c r="K166" s="10">
        <v>12.29</v>
      </c>
    </row>
    <row r="167" spans="1:15" x14ac:dyDescent="0.2">
      <c r="A167">
        <v>2023</v>
      </c>
      <c r="B167" s="8" t="s">
        <v>197</v>
      </c>
      <c r="C167" s="8" t="s">
        <v>208</v>
      </c>
      <c r="D167" s="10">
        <v>10.38</v>
      </c>
      <c r="E167" s="10">
        <v>15.98</v>
      </c>
      <c r="F167" s="10">
        <v>35.78</v>
      </c>
      <c r="G167" s="10">
        <v>1.1000000000000001</v>
      </c>
      <c r="H167" s="10">
        <v>1.41</v>
      </c>
      <c r="I167" s="10">
        <v>21.69</v>
      </c>
      <c r="J167" s="10">
        <v>14.62</v>
      </c>
      <c r="K167" s="10">
        <v>13.63</v>
      </c>
      <c r="L167" s="10"/>
      <c r="M167" s="10"/>
      <c r="N167" s="10"/>
      <c r="O167" s="10"/>
    </row>
    <row r="168" spans="1:15" x14ac:dyDescent="0.2">
      <c r="A168">
        <v>2024</v>
      </c>
      <c r="B168" s="8" t="s">
        <v>197</v>
      </c>
      <c r="C168" s="8" t="s">
        <v>208</v>
      </c>
      <c r="D168" s="10">
        <v>8.2799999999999994</v>
      </c>
      <c r="E168" s="10">
        <v>12.03</v>
      </c>
      <c r="F168" s="10">
        <v>32.76</v>
      </c>
      <c r="G168" s="10">
        <v>1.1299999999999999</v>
      </c>
      <c r="H168" s="10">
        <v>1.65</v>
      </c>
      <c r="I168" s="10">
        <v>23.07</v>
      </c>
      <c r="J168" s="10">
        <v>18.29</v>
      </c>
      <c r="K168" s="10">
        <v>15.97</v>
      </c>
      <c r="L168" s="10"/>
      <c r="M168" s="10"/>
      <c r="N168" s="10"/>
      <c r="O168" s="10"/>
    </row>
    <row r="169" spans="1:15" x14ac:dyDescent="0.2">
      <c r="A169">
        <v>2025</v>
      </c>
      <c r="B169" s="8" t="s">
        <v>197</v>
      </c>
      <c r="C169" s="8" t="s">
        <v>208</v>
      </c>
      <c r="D169" s="10">
        <v>4.33</v>
      </c>
      <c r="E169" s="10">
        <v>6.14</v>
      </c>
      <c r="F169" s="10">
        <v>25.02</v>
      </c>
      <c r="G169" s="10">
        <v>0.95</v>
      </c>
      <c r="H169" s="10">
        <v>1.26</v>
      </c>
      <c r="I169" s="10">
        <v>34.479999999999997</v>
      </c>
      <c r="J169" s="10">
        <v>12.27</v>
      </c>
      <c r="K169" s="10">
        <v>13.6</v>
      </c>
    </row>
    <row r="170" spans="1:15" x14ac:dyDescent="0.2">
      <c r="A170">
        <v>2026</v>
      </c>
      <c r="B170" s="8" t="s">
        <v>197</v>
      </c>
      <c r="C170" s="8" t="s">
        <v>208</v>
      </c>
      <c r="D170" s="10">
        <v>8.4499999999999993</v>
      </c>
      <c r="E170" s="10">
        <v>12.59</v>
      </c>
      <c r="F170" s="10">
        <v>29.06</v>
      </c>
      <c r="G170" s="10">
        <v>0.9</v>
      </c>
      <c r="H170" s="10">
        <v>1.1399999999999999</v>
      </c>
      <c r="I170" s="10">
        <v>23.01</v>
      </c>
      <c r="J170" s="10">
        <v>17.82</v>
      </c>
      <c r="K170" s="10">
        <v>14.07</v>
      </c>
    </row>
    <row r="171" spans="1:15" x14ac:dyDescent="0.2">
      <c r="A171">
        <v>2022</v>
      </c>
      <c r="B171" s="8" t="s">
        <v>195</v>
      </c>
      <c r="C171" s="8" t="s">
        <v>196</v>
      </c>
      <c r="D171" s="10">
        <v>9.5299999999999994</v>
      </c>
      <c r="E171" s="10">
        <v>13.25</v>
      </c>
      <c r="F171" s="10">
        <v>21.36</v>
      </c>
      <c r="G171" s="10">
        <v>1.46</v>
      </c>
      <c r="H171" s="10">
        <v>1.85</v>
      </c>
      <c r="I171" s="10">
        <v>35.75</v>
      </c>
      <c r="J171" s="10">
        <v>23.9</v>
      </c>
      <c r="K171" s="10">
        <v>20.399999999999999</v>
      </c>
    </row>
    <row r="172" spans="1:15" x14ac:dyDescent="0.2">
      <c r="A172">
        <v>2023</v>
      </c>
      <c r="B172" s="8" t="s">
        <v>195</v>
      </c>
      <c r="C172" s="8" t="s">
        <v>196</v>
      </c>
      <c r="D172" s="10">
        <v>9.23</v>
      </c>
      <c r="E172" s="10">
        <v>13</v>
      </c>
      <c r="F172" s="10">
        <v>19.16</v>
      </c>
      <c r="G172" s="10">
        <v>1.23</v>
      </c>
      <c r="H172" s="10">
        <v>1.63</v>
      </c>
      <c r="I172" s="10">
        <v>28.05</v>
      </c>
      <c r="J172" s="10">
        <v>20.21</v>
      </c>
      <c r="K172" s="10">
        <v>17.239999999999998</v>
      </c>
    </row>
    <row r="173" spans="1:15" x14ac:dyDescent="0.2">
      <c r="A173">
        <v>2024</v>
      </c>
      <c r="B173" s="8" t="s">
        <v>195</v>
      </c>
      <c r="C173" s="8" t="s">
        <v>196</v>
      </c>
      <c r="D173" s="10">
        <v>7.72</v>
      </c>
      <c r="E173" s="10">
        <v>10.83</v>
      </c>
      <c r="F173" s="10">
        <v>16.04</v>
      </c>
      <c r="G173" s="10">
        <v>1.1599999999999999</v>
      </c>
      <c r="H173" s="10">
        <v>1.64</v>
      </c>
      <c r="I173" s="10">
        <v>33.770000000000003</v>
      </c>
      <c r="J173" s="10">
        <v>26.51</v>
      </c>
      <c r="K173" s="10">
        <v>20.68</v>
      </c>
    </row>
    <row r="174" spans="1:15" x14ac:dyDescent="0.2">
      <c r="A174">
        <v>2025</v>
      </c>
      <c r="B174" s="8" t="s">
        <v>195</v>
      </c>
      <c r="C174" s="8" t="s">
        <v>196</v>
      </c>
      <c r="D174" s="10">
        <v>17.27</v>
      </c>
      <c r="E174" s="10">
        <v>23.35</v>
      </c>
      <c r="F174" s="10">
        <v>16.329999999999998</v>
      </c>
      <c r="G174" s="10">
        <v>1.23</v>
      </c>
      <c r="H174" s="10">
        <v>1.67</v>
      </c>
      <c r="I174" s="10">
        <v>14.81</v>
      </c>
      <c r="J174" s="10">
        <v>23.1</v>
      </c>
      <c r="K174" s="10">
        <v>20.27</v>
      </c>
    </row>
    <row r="175" spans="1:15" x14ac:dyDescent="0.2">
      <c r="A175">
        <v>2026</v>
      </c>
      <c r="B175" s="8" t="s">
        <v>195</v>
      </c>
      <c r="C175" s="8" t="s">
        <v>196</v>
      </c>
      <c r="D175" s="10">
        <v>7.73</v>
      </c>
      <c r="E175" s="10">
        <v>10.47</v>
      </c>
      <c r="F175" s="10">
        <v>18.64</v>
      </c>
      <c r="G175" s="10">
        <v>1.18</v>
      </c>
      <c r="H175" s="10">
        <v>1.58</v>
      </c>
      <c r="I175" s="10">
        <v>33.69</v>
      </c>
      <c r="J175" s="10">
        <v>22.89</v>
      </c>
      <c r="K175" s="10">
        <v>19.649999999999999</v>
      </c>
    </row>
    <row r="176" spans="1:15" x14ac:dyDescent="0.2">
      <c r="A176">
        <v>2022</v>
      </c>
      <c r="B176" s="8" t="s">
        <v>198</v>
      </c>
      <c r="C176" s="8" t="s">
        <v>199</v>
      </c>
      <c r="D176" s="10">
        <v>2.71</v>
      </c>
      <c r="E176" s="10" t="s">
        <v>323</v>
      </c>
      <c r="F176" s="10">
        <v>13.57</v>
      </c>
      <c r="G176" s="10">
        <v>1.41</v>
      </c>
      <c r="H176" s="10">
        <v>2.04</v>
      </c>
      <c r="I176" s="10">
        <v>97.47</v>
      </c>
      <c r="J176" s="10">
        <v>35.619999999999997</v>
      </c>
      <c r="K176" s="10">
        <v>22.6</v>
      </c>
    </row>
    <row r="177" spans="1:19" x14ac:dyDescent="0.2">
      <c r="A177">
        <v>2023</v>
      </c>
      <c r="B177" s="8" t="s">
        <v>198</v>
      </c>
      <c r="C177" s="8" t="s">
        <v>199</v>
      </c>
      <c r="D177" s="10">
        <v>5.01</v>
      </c>
      <c r="E177" s="10">
        <v>5.91</v>
      </c>
      <c r="F177" s="10">
        <v>17.88</v>
      </c>
      <c r="G177" s="10">
        <v>1.63</v>
      </c>
      <c r="H177" s="10">
        <v>2.33</v>
      </c>
      <c r="I177" s="10">
        <v>179.15</v>
      </c>
      <c r="J177" s="10">
        <v>25.33</v>
      </c>
      <c r="K177" s="10">
        <v>16.190000000000001</v>
      </c>
      <c r="L177" s="10"/>
      <c r="M177" s="10"/>
      <c r="N177" s="10"/>
      <c r="O177" s="10"/>
      <c r="P177" s="10"/>
    </row>
    <row r="178" spans="1:19" x14ac:dyDescent="0.2">
      <c r="A178">
        <v>2024</v>
      </c>
      <c r="B178" s="8" t="s">
        <v>198</v>
      </c>
      <c r="C178" s="8" t="s">
        <v>199</v>
      </c>
      <c r="D178" s="10">
        <v>5.04</v>
      </c>
      <c r="E178" s="10">
        <v>5.86</v>
      </c>
      <c r="F178" s="10">
        <v>17.670000000000002</v>
      </c>
      <c r="G178" s="10">
        <v>2.36</v>
      </c>
      <c r="H178" s="10">
        <v>3.08</v>
      </c>
      <c r="I178" s="10">
        <v>59.06</v>
      </c>
      <c r="J178" s="10">
        <v>22.95</v>
      </c>
      <c r="K178" s="10">
        <v>17.23</v>
      </c>
      <c r="L178" s="10"/>
      <c r="M178" s="10"/>
      <c r="N178" s="10"/>
      <c r="O178" s="10"/>
      <c r="P178" s="10"/>
    </row>
    <row r="179" spans="1:19" x14ac:dyDescent="0.2">
      <c r="A179">
        <v>2025</v>
      </c>
      <c r="B179" s="8" t="s">
        <v>198</v>
      </c>
      <c r="C179" s="8" t="s">
        <v>199</v>
      </c>
      <c r="D179" s="10">
        <v>5.75</v>
      </c>
      <c r="E179" s="10">
        <v>6.7</v>
      </c>
      <c r="F179" s="10">
        <v>18.07</v>
      </c>
      <c r="G179" s="10">
        <v>1.39</v>
      </c>
      <c r="H179" s="10">
        <v>1.96</v>
      </c>
      <c r="I179" s="10">
        <v>35.72</v>
      </c>
      <c r="J179" s="10">
        <v>19.600000000000001</v>
      </c>
      <c r="K179" s="10">
        <v>16.64</v>
      </c>
    </row>
    <row r="180" spans="1:19" x14ac:dyDescent="0.2">
      <c r="A180">
        <v>2026</v>
      </c>
      <c r="B180" s="8" t="s">
        <v>198</v>
      </c>
      <c r="C180" s="8" t="s">
        <v>199</v>
      </c>
      <c r="D180" s="10">
        <v>7.49</v>
      </c>
      <c r="E180" s="10">
        <v>8.81</v>
      </c>
      <c r="F180" s="10">
        <v>19.32</v>
      </c>
      <c r="G180" s="10">
        <v>1.54</v>
      </c>
      <c r="H180" s="10">
        <v>2.09</v>
      </c>
      <c r="I180" s="10">
        <v>27.9</v>
      </c>
      <c r="J180" s="10">
        <v>16.27</v>
      </c>
      <c r="K180" s="10">
        <v>14.28</v>
      </c>
    </row>
    <row r="181" spans="1:19" x14ac:dyDescent="0.2">
      <c r="A181">
        <v>2022</v>
      </c>
      <c r="B181" s="8" t="s">
        <v>211</v>
      </c>
      <c r="C181" s="8" t="s">
        <v>212</v>
      </c>
      <c r="D181" s="10">
        <v>5.78</v>
      </c>
      <c r="E181" s="10">
        <v>7.34</v>
      </c>
      <c r="F181" s="10">
        <v>22</v>
      </c>
      <c r="G181" s="10">
        <v>1.47</v>
      </c>
      <c r="H181" s="10">
        <v>2.2000000000000002</v>
      </c>
      <c r="I181" s="10">
        <v>51.27</v>
      </c>
      <c r="J181" s="10">
        <v>31.33</v>
      </c>
      <c r="K181" s="10">
        <v>23.5</v>
      </c>
    </row>
    <row r="182" spans="1:19" x14ac:dyDescent="0.2">
      <c r="A182">
        <v>2023</v>
      </c>
      <c r="B182" s="8" t="s">
        <v>211</v>
      </c>
      <c r="C182" s="8" t="s">
        <v>212</v>
      </c>
      <c r="D182" s="10">
        <v>6.59</v>
      </c>
      <c r="E182" s="10">
        <v>8.35</v>
      </c>
      <c r="F182" s="10">
        <v>20.49</v>
      </c>
      <c r="G182" s="10">
        <v>1</v>
      </c>
      <c r="H182" s="10">
        <v>1.63</v>
      </c>
      <c r="I182" s="10">
        <v>39.630000000000003</v>
      </c>
      <c r="J182" s="10">
        <v>35.61</v>
      </c>
      <c r="K182" s="10">
        <v>21.88</v>
      </c>
    </row>
    <row r="183" spans="1:19" x14ac:dyDescent="0.2">
      <c r="A183">
        <v>2024</v>
      </c>
      <c r="B183" s="8" t="s">
        <v>211</v>
      </c>
      <c r="C183" s="8" t="s">
        <v>212</v>
      </c>
      <c r="D183" s="10">
        <v>8.24</v>
      </c>
      <c r="E183" s="10">
        <v>10.79</v>
      </c>
      <c r="F183" s="10">
        <v>21.27</v>
      </c>
      <c r="G183" s="10">
        <v>0.97</v>
      </c>
      <c r="H183" s="10">
        <v>1.58</v>
      </c>
      <c r="I183" s="10">
        <v>36.299999999999997</v>
      </c>
      <c r="J183" s="10">
        <v>30.96</v>
      </c>
      <c r="K183" s="10">
        <v>23.18</v>
      </c>
    </row>
    <row r="184" spans="1:19" x14ac:dyDescent="0.2">
      <c r="A184">
        <v>2025</v>
      </c>
      <c r="B184" s="8" t="s">
        <v>211</v>
      </c>
      <c r="C184" s="8" t="s">
        <v>212</v>
      </c>
      <c r="D184" s="10">
        <v>7.22</v>
      </c>
      <c r="E184" s="10">
        <v>9.49</v>
      </c>
      <c r="F184" s="10">
        <v>22.67</v>
      </c>
      <c r="G184" s="10">
        <v>1.32</v>
      </c>
      <c r="H184" s="10">
        <v>1.95</v>
      </c>
      <c r="I184" s="10">
        <v>46.39</v>
      </c>
      <c r="J184" s="10">
        <v>32.729999999999997</v>
      </c>
      <c r="K184" s="10">
        <v>23.97</v>
      </c>
    </row>
    <row r="185" spans="1:19" x14ac:dyDescent="0.2">
      <c r="A185">
        <v>2026</v>
      </c>
      <c r="B185" s="8" t="s">
        <v>211</v>
      </c>
      <c r="C185" s="8" t="s">
        <v>212</v>
      </c>
      <c r="D185" s="10">
        <v>7.15</v>
      </c>
      <c r="E185" s="10">
        <v>9.17</v>
      </c>
      <c r="F185" s="10">
        <v>23.28</v>
      </c>
      <c r="G185" s="10">
        <v>1.21</v>
      </c>
      <c r="H185" s="10">
        <v>1.89</v>
      </c>
      <c r="I185" s="10">
        <v>41.85</v>
      </c>
      <c r="J185" s="10">
        <v>26.93</v>
      </c>
      <c r="K185" s="10">
        <v>20.97</v>
      </c>
    </row>
    <row r="186" spans="1:19" x14ac:dyDescent="0.2">
      <c r="A186">
        <v>2022</v>
      </c>
      <c r="B186" s="8" t="s">
        <v>155</v>
      </c>
      <c r="C186" s="8" t="s">
        <v>161</v>
      </c>
      <c r="D186" s="10">
        <v>12.52</v>
      </c>
      <c r="E186" s="10">
        <v>20.21</v>
      </c>
      <c r="F186" s="10">
        <v>31.94</v>
      </c>
      <c r="G186" s="10">
        <v>1.02</v>
      </c>
      <c r="H186" s="10">
        <v>1.27</v>
      </c>
      <c r="I186" s="10">
        <v>14.91</v>
      </c>
      <c r="J186" s="10">
        <v>13.79</v>
      </c>
      <c r="K186" s="10">
        <v>11.66</v>
      </c>
    </row>
    <row r="187" spans="1:19" x14ac:dyDescent="0.2">
      <c r="A187">
        <v>2023</v>
      </c>
      <c r="B187" s="8" t="s">
        <v>155</v>
      </c>
      <c r="C187" s="8" t="s">
        <v>161</v>
      </c>
      <c r="D187" s="10">
        <v>13.52</v>
      </c>
      <c r="E187" s="10">
        <v>19.91</v>
      </c>
      <c r="F187" s="10">
        <v>33.35</v>
      </c>
      <c r="G187" s="10">
        <v>1.23</v>
      </c>
      <c r="H187" s="10">
        <v>1.47</v>
      </c>
      <c r="I187" s="10">
        <v>19.43</v>
      </c>
      <c r="J187" s="10">
        <v>14.77</v>
      </c>
      <c r="K187" s="10">
        <v>12.79</v>
      </c>
    </row>
    <row r="188" spans="1:19" x14ac:dyDescent="0.2">
      <c r="A188">
        <v>2024</v>
      </c>
      <c r="B188" s="8" t="s">
        <v>155</v>
      </c>
      <c r="C188" s="8" t="s">
        <v>161</v>
      </c>
      <c r="D188" s="10">
        <v>0.34</v>
      </c>
      <c r="E188" s="10">
        <v>0.49</v>
      </c>
      <c r="F188" s="10">
        <v>4.9800000000000004</v>
      </c>
      <c r="G188" s="10">
        <v>1</v>
      </c>
      <c r="H188" s="10">
        <v>1.25</v>
      </c>
      <c r="I188" s="10">
        <v>760.78</v>
      </c>
      <c r="J188" s="10">
        <v>21.35</v>
      </c>
      <c r="K188" s="10">
        <v>44.59</v>
      </c>
      <c r="L188" s="10"/>
      <c r="M188" s="10"/>
      <c r="N188" s="10"/>
      <c r="O188" s="10"/>
    </row>
    <row r="189" spans="1:19" x14ac:dyDescent="0.2">
      <c r="A189">
        <v>2025</v>
      </c>
      <c r="B189" s="8" t="s">
        <v>155</v>
      </c>
      <c r="C189" s="8" t="s">
        <v>161</v>
      </c>
      <c r="D189" s="10">
        <v>15.3</v>
      </c>
      <c r="E189" s="10">
        <v>22.25</v>
      </c>
      <c r="F189" s="10">
        <v>32.270000000000003</v>
      </c>
      <c r="G189" s="10">
        <v>1.1499999999999999</v>
      </c>
      <c r="H189" s="10">
        <v>1.36</v>
      </c>
      <c r="I189" s="10">
        <v>14.77</v>
      </c>
      <c r="J189" s="10">
        <v>11.77</v>
      </c>
      <c r="K189" s="10">
        <v>10.98</v>
      </c>
      <c r="L189" s="10"/>
      <c r="M189" s="10"/>
      <c r="N189" s="10"/>
      <c r="O189" s="10"/>
    </row>
    <row r="190" spans="1:19" x14ac:dyDescent="0.2">
      <c r="A190">
        <v>2026</v>
      </c>
      <c r="B190" s="8" t="s">
        <v>155</v>
      </c>
      <c r="C190" s="8" t="s">
        <v>161</v>
      </c>
      <c r="D190" s="10">
        <v>14.37</v>
      </c>
      <c r="E190" s="10">
        <v>20.07</v>
      </c>
      <c r="F190" s="10">
        <v>36.17</v>
      </c>
      <c r="G190" s="10">
        <v>1.3</v>
      </c>
      <c r="H190" s="10">
        <v>1.54</v>
      </c>
      <c r="I190" s="10">
        <v>14.46</v>
      </c>
      <c r="J190" s="10">
        <v>16.02</v>
      </c>
      <c r="K190" s="10">
        <v>10.18</v>
      </c>
    </row>
    <row r="191" spans="1:19" x14ac:dyDescent="0.2">
      <c r="A191">
        <v>2022</v>
      </c>
      <c r="B191" s="8" t="s">
        <v>123</v>
      </c>
      <c r="C191" s="8" t="s">
        <v>124</v>
      </c>
      <c r="D191" s="10">
        <v>4.66</v>
      </c>
      <c r="E191" s="10">
        <v>5.54</v>
      </c>
      <c r="F191" s="10">
        <v>10.86</v>
      </c>
      <c r="G191" s="10">
        <v>4.62</v>
      </c>
      <c r="H191" s="10">
        <v>5.1100000000000003</v>
      </c>
      <c r="I191" s="10">
        <v>265.39999999999998</v>
      </c>
      <c r="J191" s="10">
        <v>130.08000000000001</v>
      </c>
      <c r="K191" s="10">
        <v>154.66</v>
      </c>
    </row>
    <row r="192" spans="1:19" x14ac:dyDescent="0.2">
      <c r="A192">
        <v>2023</v>
      </c>
      <c r="B192" s="8" t="s">
        <v>123</v>
      </c>
      <c r="C192" s="8" t="s">
        <v>124</v>
      </c>
      <c r="D192" s="10">
        <v>6.65</v>
      </c>
      <c r="E192" s="10">
        <v>8.99</v>
      </c>
      <c r="F192" s="10">
        <v>13.44</v>
      </c>
      <c r="G192" s="10">
        <v>1.83</v>
      </c>
      <c r="H192" s="10">
        <v>1.99</v>
      </c>
      <c r="I192" s="10">
        <v>141.88999999999999</v>
      </c>
      <c r="J192" s="10">
        <v>72.31</v>
      </c>
      <c r="K192" s="10">
        <v>87.71</v>
      </c>
      <c r="L192" s="10"/>
      <c r="M192" s="10"/>
      <c r="N192" s="10"/>
      <c r="O192" s="10"/>
      <c r="P192" s="10"/>
      <c r="Q192" s="10"/>
      <c r="R192" s="10"/>
      <c r="S192" s="10"/>
    </row>
    <row r="193" spans="1:21" x14ac:dyDescent="0.2">
      <c r="A193">
        <v>2024</v>
      </c>
      <c r="B193" s="8" t="s">
        <v>123</v>
      </c>
      <c r="C193" s="8" t="s">
        <v>124</v>
      </c>
      <c r="D193" s="10">
        <v>9.2899999999999991</v>
      </c>
      <c r="E193" s="10">
        <v>13.33</v>
      </c>
      <c r="F193" s="10">
        <v>16.5</v>
      </c>
      <c r="G193" s="10">
        <v>2.48</v>
      </c>
      <c r="H193" s="10">
        <v>2.84</v>
      </c>
      <c r="I193" s="10">
        <v>95.29</v>
      </c>
      <c r="J193" s="10">
        <v>70.540000000000006</v>
      </c>
      <c r="K193" s="10">
        <v>67.08</v>
      </c>
      <c r="L193" s="10"/>
      <c r="M193" s="10"/>
      <c r="N193" s="10"/>
      <c r="O193" s="10"/>
      <c r="P193" s="10"/>
      <c r="Q193" s="10"/>
      <c r="R193" s="10"/>
      <c r="S193" s="10"/>
    </row>
    <row r="194" spans="1:21" x14ac:dyDescent="0.2">
      <c r="A194">
        <v>2025</v>
      </c>
      <c r="B194" s="8" t="s">
        <v>123</v>
      </c>
      <c r="C194" s="8" t="s">
        <v>124</v>
      </c>
      <c r="D194" s="10">
        <v>9.0399999999999991</v>
      </c>
      <c r="E194" s="10">
        <v>14.22</v>
      </c>
      <c r="F194" s="10">
        <v>14.88</v>
      </c>
      <c r="G194" s="10">
        <v>1.28</v>
      </c>
      <c r="H194" s="10">
        <v>1.47</v>
      </c>
      <c r="I194" s="10">
        <v>54.61</v>
      </c>
      <c r="J194" s="10">
        <v>32.44</v>
      </c>
      <c r="K194" s="10">
        <v>39.15</v>
      </c>
      <c r="L194" s="10"/>
      <c r="M194" s="10"/>
      <c r="N194" s="10"/>
      <c r="O194" s="10"/>
      <c r="P194" s="10"/>
      <c r="Q194" s="10"/>
      <c r="R194" s="10"/>
      <c r="S194" s="10"/>
    </row>
    <row r="195" spans="1:21" x14ac:dyDescent="0.2">
      <c r="A195">
        <v>2026</v>
      </c>
      <c r="B195" s="8" t="s">
        <v>123</v>
      </c>
      <c r="C195" s="8" t="s">
        <v>124</v>
      </c>
      <c r="D195" s="10">
        <v>13.04</v>
      </c>
      <c r="E195" s="10">
        <v>22.07</v>
      </c>
      <c r="F195" s="10">
        <v>19.559999999999999</v>
      </c>
      <c r="G195" s="10">
        <v>1.59</v>
      </c>
      <c r="H195" s="10">
        <v>1.88</v>
      </c>
      <c r="I195" s="10">
        <v>31.76</v>
      </c>
      <c r="J195" s="10">
        <v>18.68</v>
      </c>
      <c r="K195" s="10">
        <v>22.52</v>
      </c>
      <c r="L195" s="10"/>
      <c r="M195" s="10"/>
      <c r="N195" s="10"/>
      <c r="O195" s="10"/>
      <c r="P195" s="10"/>
      <c r="Q195" s="10"/>
      <c r="R195" s="10"/>
      <c r="S195" s="10"/>
    </row>
    <row r="196" spans="1:21" x14ac:dyDescent="0.2">
      <c r="A196">
        <v>2022</v>
      </c>
      <c r="B196" s="8" t="s">
        <v>279</v>
      </c>
      <c r="C196" s="8" t="s">
        <v>280</v>
      </c>
      <c r="D196" s="10">
        <v>7.35</v>
      </c>
      <c r="E196" s="10">
        <v>12.4</v>
      </c>
      <c r="F196" s="10">
        <v>4.41</v>
      </c>
      <c r="G196" s="10"/>
      <c r="H196" s="10">
        <v>1.62</v>
      </c>
      <c r="I196" s="10">
        <v>20.46</v>
      </c>
      <c r="J196" s="10">
        <v>26.53</v>
      </c>
      <c r="K196" s="10">
        <v>17.27</v>
      </c>
      <c r="L196" s="10"/>
      <c r="M196" s="10"/>
      <c r="N196" s="10"/>
      <c r="O196" s="10"/>
      <c r="P196" s="10"/>
      <c r="Q196" s="10"/>
      <c r="R196" s="10"/>
      <c r="S196" s="10"/>
    </row>
    <row r="197" spans="1:21" x14ac:dyDescent="0.2">
      <c r="A197">
        <v>2023</v>
      </c>
      <c r="B197" s="8" t="s">
        <v>279</v>
      </c>
      <c r="C197" s="8" t="s">
        <v>280</v>
      </c>
      <c r="D197" s="10">
        <v>6.34</v>
      </c>
      <c r="E197" s="10">
        <v>10.8</v>
      </c>
      <c r="F197" s="10">
        <v>4.54</v>
      </c>
      <c r="G197" s="10"/>
      <c r="H197" s="10">
        <v>1.52</v>
      </c>
      <c r="I197" s="10">
        <v>23.2</v>
      </c>
      <c r="J197" s="10">
        <v>14.19</v>
      </c>
      <c r="K197" s="10">
        <v>16.02</v>
      </c>
      <c r="L197" s="10"/>
      <c r="M197" s="10"/>
      <c r="N197" s="10"/>
      <c r="O197" s="10"/>
      <c r="P197" s="10"/>
      <c r="Q197" s="10"/>
      <c r="R197" s="10"/>
      <c r="S197" s="10"/>
    </row>
    <row r="198" spans="1:21" x14ac:dyDescent="0.2">
      <c r="A198">
        <v>2024</v>
      </c>
      <c r="B198" s="8" t="s">
        <v>279</v>
      </c>
      <c r="C198" s="8" t="s">
        <v>280</v>
      </c>
      <c r="D198" s="10">
        <v>5.49</v>
      </c>
      <c r="E198" s="10">
        <v>9.6199999999999992</v>
      </c>
      <c r="F198" s="10">
        <v>3.89</v>
      </c>
      <c r="G198" s="10"/>
      <c r="H198" s="10">
        <v>1.59</v>
      </c>
      <c r="I198" s="10">
        <v>22.89</v>
      </c>
      <c r="J198" s="10">
        <v>14.31</v>
      </c>
      <c r="K198" s="10">
        <v>23.35</v>
      </c>
      <c r="L198" s="10"/>
      <c r="O198" s="10"/>
      <c r="P198" s="10"/>
      <c r="Q198" s="10"/>
      <c r="R198" s="10"/>
      <c r="S198" s="10"/>
      <c r="T198" s="10"/>
      <c r="U198" s="10"/>
    </row>
    <row r="199" spans="1:21" x14ac:dyDescent="0.2">
      <c r="A199">
        <v>2025</v>
      </c>
      <c r="B199" s="8" t="s">
        <v>279</v>
      </c>
      <c r="C199" s="8" t="s">
        <v>280</v>
      </c>
      <c r="D199" s="10">
        <v>2.59</v>
      </c>
      <c r="E199" s="10">
        <v>4.4000000000000004</v>
      </c>
      <c r="F199" s="10">
        <v>2.34</v>
      </c>
      <c r="G199" s="10"/>
      <c r="H199" s="10">
        <v>1.76</v>
      </c>
      <c r="I199" s="10">
        <v>25.41</v>
      </c>
      <c r="J199" s="10">
        <v>10.34</v>
      </c>
      <c r="K199" s="10">
        <v>12.84</v>
      </c>
      <c r="O199" s="10"/>
      <c r="P199" s="10"/>
      <c r="Q199" s="10"/>
      <c r="R199" s="10"/>
      <c r="S199" s="10"/>
      <c r="T199" s="10"/>
      <c r="U199" s="10"/>
    </row>
    <row r="200" spans="1:21" x14ac:dyDescent="0.2">
      <c r="A200">
        <v>2026</v>
      </c>
      <c r="B200" s="8" t="s">
        <v>279</v>
      </c>
      <c r="C200" s="8" t="s">
        <v>280</v>
      </c>
      <c r="D200" s="10">
        <v>2.5</v>
      </c>
      <c r="E200" s="10">
        <v>4.07</v>
      </c>
      <c r="F200" s="10">
        <v>2.2799999999999998</v>
      </c>
      <c r="G200" s="10"/>
      <c r="H200" s="10">
        <v>2</v>
      </c>
      <c r="I200" s="10">
        <v>26.05</v>
      </c>
      <c r="J200" s="10">
        <v>33.6</v>
      </c>
      <c r="K200" s="10">
        <v>19.61</v>
      </c>
    </row>
    <row r="201" spans="1:21" x14ac:dyDescent="0.2">
      <c r="A201">
        <v>2022</v>
      </c>
      <c r="B201" s="8" t="s">
        <v>191</v>
      </c>
      <c r="C201" s="8" t="s">
        <v>192</v>
      </c>
      <c r="D201" s="10">
        <v>7.72</v>
      </c>
      <c r="E201" s="10">
        <v>13.35</v>
      </c>
      <c r="F201" s="10">
        <v>35.14</v>
      </c>
      <c r="G201" s="10">
        <v>0.7</v>
      </c>
      <c r="H201" s="10">
        <v>0.79</v>
      </c>
      <c r="I201" s="10">
        <v>20.98</v>
      </c>
      <c r="J201" s="10">
        <v>10.56</v>
      </c>
      <c r="K201" s="10">
        <v>10.88</v>
      </c>
      <c r="O201" s="10"/>
      <c r="P201" s="10"/>
      <c r="Q201" s="10"/>
      <c r="R201" s="10"/>
      <c r="S201" s="10"/>
    </row>
    <row r="202" spans="1:21" x14ac:dyDescent="0.2">
      <c r="A202">
        <v>2023</v>
      </c>
      <c r="B202" s="8" t="s">
        <v>191</v>
      </c>
      <c r="C202" s="8" t="s">
        <v>192</v>
      </c>
      <c r="D202" s="10">
        <v>8.26</v>
      </c>
      <c r="E202" s="10">
        <v>14.97</v>
      </c>
      <c r="F202" s="10">
        <v>38.93</v>
      </c>
      <c r="G202" s="10">
        <v>0.84</v>
      </c>
      <c r="H202" s="10">
        <v>0.96</v>
      </c>
      <c r="I202" s="10">
        <v>24.39</v>
      </c>
      <c r="J202" s="10">
        <v>11.52</v>
      </c>
      <c r="K202" s="10">
        <v>10.99</v>
      </c>
      <c r="O202" s="10"/>
      <c r="P202" s="10"/>
      <c r="Q202" s="10"/>
      <c r="R202" s="10"/>
      <c r="S202" s="10"/>
    </row>
    <row r="203" spans="1:21" x14ac:dyDescent="0.2">
      <c r="A203">
        <v>2024</v>
      </c>
      <c r="B203" s="8" t="s">
        <v>191</v>
      </c>
      <c r="C203" s="8" t="s">
        <v>192</v>
      </c>
      <c r="D203" s="10">
        <v>3.52</v>
      </c>
      <c r="E203" s="10">
        <v>6.86</v>
      </c>
      <c r="F203" s="10">
        <v>33.29</v>
      </c>
      <c r="G203" s="10">
        <v>0.76</v>
      </c>
      <c r="H203" s="10">
        <v>0.87</v>
      </c>
      <c r="I203" s="10">
        <v>57</v>
      </c>
      <c r="J203" s="10">
        <v>12.05</v>
      </c>
      <c r="K203" s="10">
        <v>12</v>
      </c>
      <c r="O203" s="10"/>
      <c r="P203" s="10"/>
      <c r="Q203" s="10"/>
      <c r="R203" s="10"/>
      <c r="S203" s="10"/>
    </row>
    <row r="204" spans="1:21" x14ac:dyDescent="0.2">
      <c r="A204">
        <v>2025</v>
      </c>
      <c r="B204" s="8" t="s">
        <v>191</v>
      </c>
      <c r="C204" s="8" t="s">
        <v>192</v>
      </c>
      <c r="D204" s="10">
        <v>3.14</v>
      </c>
      <c r="E204" s="10">
        <v>6.64</v>
      </c>
      <c r="F204" s="10">
        <v>29.51</v>
      </c>
      <c r="G204" s="10">
        <v>0.55000000000000004</v>
      </c>
      <c r="H204" s="10">
        <v>0.66</v>
      </c>
      <c r="I204" s="10">
        <v>74.34</v>
      </c>
      <c r="J204" s="10">
        <v>16.75</v>
      </c>
      <c r="K204" s="10">
        <v>15.06</v>
      </c>
      <c r="O204" s="10"/>
      <c r="P204" s="10"/>
      <c r="Q204" s="10"/>
      <c r="R204" s="10"/>
      <c r="S204" s="10"/>
    </row>
    <row r="205" spans="1:21" x14ac:dyDescent="0.2">
      <c r="A205">
        <v>2026</v>
      </c>
      <c r="B205" s="8" t="s">
        <v>191</v>
      </c>
      <c r="C205" s="8" t="s">
        <v>192</v>
      </c>
      <c r="D205" s="10">
        <v>3.11</v>
      </c>
      <c r="E205" s="10">
        <v>6.93</v>
      </c>
      <c r="F205" s="10">
        <v>34.19</v>
      </c>
      <c r="G205" s="10">
        <v>0.56000000000000005</v>
      </c>
      <c r="H205" s="10">
        <v>0.67</v>
      </c>
      <c r="I205" s="10">
        <v>96.78</v>
      </c>
      <c r="J205" s="10">
        <v>21.29</v>
      </c>
      <c r="K205" s="10">
        <v>16.09</v>
      </c>
      <c r="O205" s="10"/>
      <c r="P205" s="10"/>
      <c r="Q205" s="10"/>
      <c r="R205" s="10"/>
      <c r="S205" s="10"/>
    </row>
    <row r="206" spans="1:21" x14ac:dyDescent="0.2">
      <c r="A206">
        <v>2022</v>
      </c>
      <c r="B206" s="8" t="s">
        <v>282</v>
      </c>
      <c r="C206" s="8" t="s">
        <v>283</v>
      </c>
      <c r="D206" s="10">
        <v>12.46</v>
      </c>
      <c r="E206" s="10">
        <v>16.21</v>
      </c>
      <c r="F206" s="10">
        <v>27.31</v>
      </c>
      <c r="G206" s="10">
        <v>3.7</v>
      </c>
      <c r="H206" s="10">
        <v>3.7</v>
      </c>
      <c r="I206" s="10">
        <v>89.81</v>
      </c>
      <c r="J206" s="10">
        <v>50.21</v>
      </c>
      <c r="K206" s="10">
        <v>66.38</v>
      </c>
      <c r="O206" s="10"/>
      <c r="P206" s="10"/>
      <c r="Q206" s="10"/>
      <c r="R206" s="10"/>
      <c r="S206" s="10"/>
    </row>
    <row r="207" spans="1:21" x14ac:dyDescent="0.2">
      <c r="A207">
        <v>2023</v>
      </c>
      <c r="B207" s="8" t="s">
        <v>282</v>
      </c>
      <c r="C207" s="8" t="s">
        <v>283</v>
      </c>
      <c r="D207" s="10">
        <v>11.31</v>
      </c>
      <c r="E207" s="10">
        <v>14.51</v>
      </c>
      <c r="F207" s="10">
        <v>21.3</v>
      </c>
      <c r="G207" s="10">
        <v>3.94</v>
      </c>
      <c r="H207" s="10">
        <v>3.94</v>
      </c>
      <c r="I207" s="10">
        <v>56.8</v>
      </c>
      <c r="J207" s="10">
        <v>35.5</v>
      </c>
      <c r="K207" s="10">
        <v>49.52</v>
      </c>
      <c r="O207" s="10"/>
      <c r="P207" s="10"/>
      <c r="Q207" s="10"/>
      <c r="R207" s="10"/>
      <c r="S207" s="10"/>
    </row>
    <row r="208" spans="1:21" x14ac:dyDescent="0.2">
      <c r="A208">
        <v>2024</v>
      </c>
      <c r="B208" s="8" t="s">
        <v>282</v>
      </c>
      <c r="C208" s="8" t="s">
        <v>283</v>
      </c>
      <c r="D208" s="10">
        <v>9.81</v>
      </c>
      <c r="E208" s="10">
        <v>12.43</v>
      </c>
      <c r="F208" s="10">
        <v>18.16</v>
      </c>
      <c r="G208" s="10">
        <v>4.24</v>
      </c>
      <c r="H208" s="10">
        <v>4.24</v>
      </c>
      <c r="I208" s="10">
        <v>64.5</v>
      </c>
      <c r="J208" s="10">
        <v>37.21</v>
      </c>
      <c r="K208" s="10">
        <v>64.06</v>
      </c>
      <c r="O208" s="10"/>
      <c r="P208" s="10"/>
      <c r="Q208" s="10"/>
      <c r="R208" s="10"/>
      <c r="S208" s="10"/>
    </row>
    <row r="209" spans="1:19" x14ac:dyDescent="0.2">
      <c r="A209">
        <v>2025</v>
      </c>
      <c r="B209" s="8" t="s">
        <v>282</v>
      </c>
      <c r="C209" s="8" t="s">
        <v>283</v>
      </c>
      <c r="D209" s="10">
        <v>10.78</v>
      </c>
      <c r="E209" s="10">
        <v>13.49</v>
      </c>
      <c r="F209" s="10">
        <v>25.36</v>
      </c>
      <c r="G209" s="10">
        <v>4.51</v>
      </c>
      <c r="H209" s="10">
        <v>4.51</v>
      </c>
      <c r="I209" s="10">
        <v>53.97</v>
      </c>
      <c r="J209" s="10">
        <v>35.36</v>
      </c>
      <c r="K209" s="10">
        <v>44.68</v>
      </c>
      <c r="O209" s="10"/>
      <c r="P209" s="10"/>
      <c r="Q209" s="10"/>
      <c r="R209" s="10"/>
      <c r="S209" s="10"/>
    </row>
    <row r="210" spans="1:19" x14ac:dyDescent="0.2">
      <c r="A210">
        <v>2026</v>
      </c>
      <c r="B210" s="8" t="s">
        <v>282</v>
      </c>
      <c r="C210" s="8" t="s">
        <v>283</v>
      </c>
      <c r="D210" s="10">
        <v>11.14</v>
      </c>
      <c r="E210" s="10">
        <v>13.77</v>
      </c>
      <c r="F210" s="10">
        <v>29.64</v>
      </c>
      <c r="G210" s="10">
        <v>4.8899999999999997</v>
      </c>
      <c r="H210" s="10">
        <v>4.8899999999999997</v>
      </c>
      <c r="I210" s="10">
        <v>37.47</v>
      </c>
      <c r="J210" s="10">
        <v>24.06</v>
      </c>
      <c r="K210" s="10">
        <v>27.56</v>
      </c>
      <c r="O210" s="10"/>
      <c r="P210" s="10"/>
      <c r="Q210" s="10"/>
      <c r="R210" s="10"/>
      <c r="S210" s="10"/>
    </row>
    <row r="211" spans="1:19" x14ac:dyDescent="0.2">
      <c r="A211">
        <v>2022</v>
      </c>
      <c r="B211" s="8" t="s">
        <v>202</v>
      </c>
      <c r="C211" s="8" t="s">
        <v>203</v>
      </c>
      <c r="D211" s="10">
        <v>7.97</v>
      </c>
      <c r="E211" s="10">
        <v>9.77</v>
      </c>
      <c r="F211" s="10">
        <v>27.33</v>
      </c>
      <c r="G211" s="10">
        <v>1.0900000000000001</v>
      </c>
      <c r="H211" s="10">
        <v>1.43</v>
      </c>
      <c r="I211" s="10">
        <v>38.19</v>
      </c>
      <c r="J211" s="10">
        <v>29</v>
      </c>
      <c r="K211" s="10">
        <v>25.96</v>
      </c>
      <c r="O211" s="10"/>
      <c r="P211" s="10"/>
      <c r="Q211" s="10"/>
      <c r="R211" s="10"/>
      <c r="S211" s="10"/>
    </row>
    <row r="212" spans="1:19" x14ac:dyDescent="0.2">
      <c r="A212">
        <v>2023</v>
      </c>
      <c r="B212" s="8" t="s">
        <v>202</v>
      </c>
      <c r="C212" s="8" t="s">
        <v>203</v>
      </c>
      <c r="D212" s="10">
        <v>7.55</v>
      </c>
      <c r="E212" s="10">
        <v>9.16</v>
      </c>
      <c r="F212" s="10">
        <v>28.29</v>
      </c>
      <c r="G212" s="10">
        <v>1.56</v>
      </c>
      <c r="H212" s="10">
        <v>1.89</v>
      </c>
      <c r="I212" s="10">
        <v>27.54</v>
      </c>
      <c r="J212" s="10">
        <v>22.97</v>
      </c>
      <c r="K212" s="10">
        <v>21.82</v>
      </c>
      <c r="O212" s="10"/>
      <c r="P212" s="10"/>
      <c r="Q212" s="10"/>
      <c r="R212" s="10"/>
      <c r="S212" s="10"/>
    </row>
    <row r="213" spans="1:19" x14ac:dyDescent="0.2">
      <c r="A213">
        <v>2024</v>
      </c>
      <c r="B213" s="8" t="s">
        <v>202</v>
      </c>
      <c r="C213" s="8" t="s">
        <v>203</v>
      </c>
      <c r="D213" s="10">
        <v>5</v>
      </c>
      <c r="E213" s="10">
        <v>5.98</v>
      </c>
      <c r="F213" s="10">
        <v>22.1</v>
      </c>
      <c r="G213" s="10">
        <v>1.37</v>
      </c>
      <c r="H213" s="10">
        <v>1.68</v>
      </c>
      <c r="I213" s="10">
        <v>36.24</v>
      </c>
      <c r="J213" s="10">
        <v>24</v>
      </c>
      <c r="K213" s="10">
        <v>24.78</v>
      </c>
      <c r="O213" s="10"/>
      <c r="P213" s="10"/>
      <c r="Q213" s="10"/>
      <c r="R213" s="10"/>
      <c r="S213" s="10"/>
    </row>
    <row r="214" spans="1:19" x14ac:dyDescent="0.2">
      <c r="A214">
        <v>2025</v>
      </c>
      <c r="B214" s="8" t="s">
        <v>202</v>
      </c>
      <c r="C214" s="8" t="s">
        <v>203</v>
      </c>
      <c r="D214" s="10">
        <v>4.8099999999999996</v>
      </c>
      <c r="E214" s="10">
        <v>5.69</v>
      </c>
      <c r="F214" s="10">
        <v>21.71</v>
      </c>
      <c r="G214" s="10">
        <v>1.05</v>
      </c>
      <c r="H214" s="10">
        <v>1.4</v>
      </c>
      <c r="I214" s="10">
        <v>43.4</v>
      </c>
      <c r="J214" s="10">
        <v>25.3</v>
      </c>
      <c r="K214" s="10">
        <v>24.3</v>
      </c>
      <c r="O214" s="10"/>
      <c r="P214" s="10"/>
      <c r="Q214" s="10"/>
      <c r="R214" s="10"/>
      <c r="S214" s="10"/>
    </row>
    <row r="215" spans="1:19" x14ac:dyDescent="0.2">
      <c r="A215">
        <v>2026</v>
      </c>
      <c r="B215" s="8" t="s">
        <v>202</v>
      </c>
      <c r="C215" s="8" t="s">
        <v>203</v>
      </c>
      <c r="D215" s="10">
        <v>4.47</v>
      </c>
      <c r="E215" s="10">
        <v>5.22</v>
      </c>
      <c r="F215" s="10">
        <v>21.38</v>
      </c>
      <c r="G215" s="10">
        <v>1.51</v>
      </c>
      <c r="H215" s="10">
        <v>1.87</v>
      </c>
      <c r="I215" s="10">
        <v>45.36</v>
      </c>
      <c r="J215" s="10">
        <v>25.55</v>
      </c>
      <c r="K215" s="10">
        <v>23.09</v>
      </c>
    </row>
    <row r="216" spans="1:19" x14ac:dyDescent="0.2">
      <c r="A216">
        <v>2022</v>
      </c>
      <c r="B216" s="8" t="s">
        <v>187</v>
      </c>
      <c r="C216" s="8" t="s">
        <v>188</v>
      </c>
      <c r="D216" s="10">
        <v>7.75</v>
      </c>
      <c r="E216" s="10">
        <v>9.99</v>
      </c>
      <c r="F216" s="10">
        <v>35.01</v>
      </c>
      <c r="G216" s="10">
        <v>1.66</v>
      </c>
      <c r="H216" s="10">
        <v>2.0099999999999998</v>
      </c>
      <c r="I216" s="10">
        <v>24.87</v>
      </c>
      <c r="J216" s="10">
        <v>16.63</v>
      </c>
      <c r="K216" s="10">
        <v>16.86</v>
      </c>
      <c r="O216" s="10"/>
      <c r="P216" s="10"/>
      <c r="Q216" s="10"/>
      <c r="R216" s="10"/>
      <c r="S216" s="10"/>
    </row>
    <row r="217" spans="1:19" x14ac:dyDescent="0.2">
      <c r="A217">
        <v>2023</v>
      </c>
      <c r="B217" s="8" t="s">
        <v>187</v>
      </c>
      <c r="C217" s="8" t="s">
        <v>188</v>
      </c>
      <c r="D217" s="10">
        <v>3.52</v>
      </c>
      <c r="E217" s="10">
        <v>4.3099999999999996</v>
      </c>
      <c r="F217" s="10">
        <v>23.59</v>
      </c>
      <c r="G217" s="10">
        <v>1.87</v>
      </c>
      <c r="H217" s="10">
        <v>2.13</v>
      </c>
      <c r="I217" s="10">
        <v>31.15</v>
      </c>
      <c r="J217" s="10">
        <v>26.08</v>
      </c>
      <c r="K217" s="10">
        <v>17.93</v>
      </c>
      <c r="O217" s="10"/>
      <c r="P217" s="10"/>
      <c r="Q217" s="10"/>
      <c r="R217" s="10"/>
      <c r="S217" s="10"/>
    </row>
    <row r="218" spans="1:19" x14ac:dyDescent="0.2">
      <c r="A218">
        <v>2024</v>
      </c>
      <c r="B218" s="8" t="s">
        <v>187</v>
      </c>
      <c r="C218" s="8" t="s">
        <v>188</v>
      </c>
      <c r="D218" s="10">
        <v>1.3</v>
      </c>
      <c r="E218" s="10">
        <v>1.58</v>
      </c>
      <c r="F218" s="10">
        <v>14.52</v>
      </c>
      <c r="G218" s="10">
        <v>1.77</v>
      </c>
      <c r="H218" s="10">
        <v>2.0699999999999998</v>
      </c>
      <c r="I218" s="10"/>
      <c r="J218" s="10">
        <v>149.47999999999999</v>
      </c>
      <c r="K218" s="10">
        <v>19.170000000000002</v>
      </c>
    </row>
    <row r="219" spans="1:19" x14ac:dyDescent="0.2">
      <c r="A219">
        <v>2025</v>
      </c>
      <c r="B219" s="8" t="s">
        <v>187</v>
      </c>
      <c r="C219" s="8" t="s">
        <v>188</v>
      </c>
      <c r="D219" s="10">
        <v>2.1800000000000002</v>
      </c>
      <c r="E219" s="10">
        <v>2.56</v>
      </c>
      <c r="F219" s="10">
        <v>14.9</v>
      </c>
      <c r="G219" s="10">
        <v>3.03</v>
      </c>
      <c r="H219" s="10">
        <v>3.6</v>
      </c>
      <c r="I219" s="10">
        <v>46.5</v>
      </c>
      <c r="J219" s="10">
        <v>21.89</v>
      </c>
      <c r="K219" s="10">
        <v>18.78</v>
      </c>
    </row>
    <row r="220" spans="1:19" x14ac:dyDescent="0.2">
      <c r="A220">
        <v>2026</v>
      </c>
      <c r="B220" s="8" t="s">
        <v>187</v>
      </c>
      <c r="C220" s="8" t="s">
        <v>188</v>
      </c>
      <c r="D220" s="10">
        <v>1.95</v>
      </c>
      <c r="E220" s="10">
        <v>2.2799999999999998</v>
      </c>
      <c r="F220" s="10">
        <v>14.98</v>
      </c>
      <c r="G220" s="10">
        <v>1.4</v>
      </c>
      <c r="H220" s="10">
        <v>1.68</v>
      </c>
      <c r="I220" s="10">
        <v>46.61</v>
      </c>
      <c r="J220" s="10">
        <v>19.43</v>
      </c>
      <c r="K220" s="10">
        <v>16.3</v>
      </c>
      <c r="O220" s="10"/>
      <c r="P220" s="10"/>
      <c r="Q220" s="10"/>
      <c r="R220" s="10"/>
      <c r="S220" s="10"/>
    </row>
    <row r="221" spans="1:19" x14ac:dyDescent="0.2">
      <c r="A221">
        <v>2022</v>
      </c>
      <c r="B221" s="8" t="s">
        <v>215</v>
      </c>
      <c r="C221" s="8" t="s">
        <v>216</v>
      </c>
      <c r="D221" s="10">
        <v>0.86</v>
      </c>
      <c r="E221" s="10">
        <v>0.97</v>
      </c>
      <c r="F221" s="10">
        <v>11.47</v>
      </c>
      <c r="G221" s="10">
        <v>4.43</v>
      </c>
      <c r="H221" s="10">
        <v>5.75</v>
      </c>
      <c r="I221" s="10">
        <v>1090</v>
      </c>
      <c r="J221" s="10"/>
      <c r="K221" s="10">
        <v>102.12</v>
      </c>
      <c r="O221" s="10"/>
      <c r="P221" s="10"/>
      <c r="Q221" s="10"/>
      <c r="R221" s="10"/>
      <c r="S221" s="10"/>
    </row>
    <row r="222" spans="1:19" x14ac:dyDescent="0.2">
      <c r="A222">
        <v>2023</v>
      </c>
      <c r="B222" s="8" t="s">
        <v>215</v>
      </c>
      <c r="C222" s="8" t="s">
        <v>216</v>
      </c>
      <c r="D222" s="10">
        <v>0.21</v>
      </c>
      <c r="E222" s="10">
        <v>0.25</v>
      </c>
      <c r="F222" s="10">
        <v>2.88</v>
      </c>
      <c r="G222" s="10">
        <v>2.61</v>
      </c>
      <c r="H222" s="10">
        <v>3.56</v>
      </c>
      <c r="I222" s="10">
        <v>4470</v>
      </c>
      <c r="J222" s="10">
        <v>172.95</v>
      </c>
      <c r="K222" s="10">
        <v>211.39</v>
      </c>
      <c r="O222" s="10"/>
      <c r="P222" s="10"/>
      <c r="Q222" s="10"/>
      <c r="R222" s="10"/>
      <c r="S222" s="10"/>
    </row>
    <row r="223" spans="1:19" x14ac:dyDescent="0.2">
      <c r="A223">
        <v>2024</v>
      </c>
      <c r="B223" s="8" t="s">
        <v>215</v>
      </c>
      <c r="C223" s="8" t="s">
        <v>216</v>
      </c>
      <c r="D223" s="10">
        <v>8.5299999999999994</v>
      </c>
      <c r="E223" s="10">
        <v>10.3</v>
      </c>
      <c r="F223" s="10">
        <v>12.96</v>
      </c>
      <c r="G223" s="10">
        <v>2.58</v>
      </c>
      <c r="H223" s="10">
        <v>3.47</v>
      </c>
      <c r="I223" s="10">
        <v>73.73</v>
      </c>
      <c r="J223" s="10">
        <v>109.88</v>
      </c>
      <c r="K223" s="10">
        <v>57</v>
      </c>
    </row>
    <row r="224" spans="1:19" x14ac:dyDescent="0.2">
      <c r="A224">
        <v>2025</v>
      </c>
      <c r="B224" s="8" t="s">
        <v>215</v>
      </c>
      <c r="C224" s="8" t="s">
        <v>216</v>
      </c>
      <c r="D224" s="10">
        <v>14.74</v>
      </c>
      <c r="E224" s="10">
        <v>17.89</v>
      </c>
      <c r="F224" s="10">
        <v>14.91</v>
      </c>
      <c r="G224" s="10">
        <v>2.73</v>
      </c>
      <c r="H224" s="10">
        <v>3.54</v>
      </c>
      <c r="I224" s="10">
        <v>45.13</v>
      </c>
      <c r="J224" s="10">
        <v>44.83</v>
      </c>
      <c r="K224" s="10">
        <v>48.34</v>
      </c>
    </row>
    <row r="225" spans="1:19" x14ac:dyDescent="0.2">
      <c r="A225">
        <v>2026</v>
      </c>
      <c r="B225" s="8" t="s">
        <v>215</v>
      </c>
      <c r="C225" s="8" t="s">
        <v>216</v>
      </c>
      <c r="D225" s="10">
        <v>7.87</v>
      </c>
      <c r="E225" s="10">
        <v>9.8000000000000007</v>
      </c>
      <c r="F225" s="10">
        <v>17.5</v>
      </c>
      <c r="G225" s="10">
        <v>2.11</v>
      </c>
      <c r="H225" s="10">
        <v>2.78</v>
      </c>
      <c r="I225" s="10">
        <v>81.7</v>
      </c>
      <c r="J225" s="10">
        <v>35.89</v>
      </c>
      <c r="K225" s="10">
        <v>35.21</v>
      </c>
      <c r="O225" s="10"/>
      <c r="P225" s="10"/>
      <c r="Q225" s="10"/>
      <c r="R225" s="10"/>
      <c r="S225" s="10"/>
    </row>
    <row r="226" spans="1:19" x14ac:dyDescent="0.2">
      <c r="A226">
        <v>2022</v>
      </c>
      <c r="B226" s="8" t="s">
        <v>137</v>
      </c>
      <c r="C226" s="8" t="s">
        <v>138</v>
      </c>
      <c r="D226" s="10">
        <v>31.48</v>
      </c>
      <c r="E226" s="10">
        <v>47.74</v>
      </c>
      <c r="F226" s="10">
        <v>29.49</v>
      </c>
      <c r="G226" s="10">
        <v>0.83</v>
      </c>
      <c r="H226" s="10">
        <v>1.18</v>
      </c>
      <c r="I226" s="10">
        <v>76.53</v>
      </c>
      <c r="J226" s="10">
        <v>75.709999999999994</v>
      </c>
      <c r="K226" s="10">
        <v>54.88</v>
      </c>
      <c r="O226" s="10"/>
      <c r="P226" s="10"/>
      <c r="Q226" s="10"/>
      <c r="R226" s="10"/>
      <c r="S226" s="10"/>
    </row>
    <row r="227" spans="1:19" x14ac:dyDescent="0.2">
      <c r="A227">
        <v>2023</v>
      </c>
      <c r="B227" s="8" t="s">
        <v>137</v>
      </c>
      <c r="C227" s="8" t="s">
        <v>138</v>
      </c>
      <c r="D227" s="10">
        <v>26.2</v>
      </c>
      <c r="E227" s="10">
        <v>45.93</v>
      </c>
      <c r="F227" s="10">
        <v>26.03</v>
      </c>
      <c r="G227" s="10">
        <v>0.55000000000000004</v>
      </c>
      <c r="H227" s="10">
        <v>0.84</v>
      </c>
      <c r="I227" s="10">
        <v>50.82</v>
      </c>
      <c r="J227" s="10">
        <v>63.61</v>
      </c>
      <c r="K227" s="10">
        <v>36.17</v>
      </c>
      <c r="O227" s="10"/>
      <c r="P227" s="10"/>
      <c r="Q227" s="10"/>
      <c r="R227" s="10"/>
      <c r="S227" s="10"/>
    </row>
    <row r="228" spans="1:19" x14ac:dyDescent="0.2">
      <c r="A228">
        <v>2024</v>
      </c>
      <c r="B228" s="8" t="s">
        <v>137</v>
      </c>
      <c r="C228" s="8" t="s">
        <v>138</v>
      </c>
      <c r="D228" s="10">
        <v>28.14</v>
      </c>
      <c r="E228" s="10">
        <v>46.8</v>
      </c>
      <c r="F228" s="10">
        <v>29.84</v>
      </c>
      <c r="G228" s="10">
        <v>1.1100000000000001</v>
      </c>
      <c r="H228" s="10">
        <v>1.51</v>
      </c>
      <c r="I228" s="10">
        <v>55.16</v>
      </c>
      <c r="J228" s="10">
        <v>51.42</v>
      </c>
      <c r="K228" s="10">
        <v>39.01</v>
      </c>
    </row>
    <row r="229" spans="1:19" x14ac:dyDescent="0.2">
      <c r="A229">
        <v>2025</v>
      </c>
      <c r="B229" s="8" t="s">
        <v>137</v>
      </c>
      <c r="C229" s="8" t="s">
        <v>138</v>
      </c>
      <c r="D229" s="10">
        <v>27.1</v>
      </c>
      <c r="E229" s="10">
        <v>40.82</v>
      </c>
      <c r="F229" s="10">
        <v>28.92</v>
      </c>
      <c r="G229" s="10">
        <v>0.9</v>
      </c>
      <c r="H229" s="10">
        <v>1.25</v>
      </c>
      <c r="I229" s="10">
        <v>38.76</v>
      </c>
      <c r="J229" s="10">
        <v>37.049999999999997</v>
      </c>
      <c r="K229" s="10">
        <v>27.84</v>
      </c>
    </row>
    <row r="230" spans="1:19" x14ac:dyDescent="0.2">
      <c r="A230">
        <v>2026</v>
      </c>
      <c r="B230" s="8" t="s">
        <v>137</v>
      </c>
      <c r="C230" s="8" t="s">
        <v>138</v>
      </c>
      <c r="D230" s="10">
        <v>31.89</v>
      </c>
      <c r="E230" s="10">
        <v>50.16</v>
      </c>
      <c r="F230" s="10">
        <v>31.72</v>
      </c>
      <c r="G230" s="10">
        <v>0.84</v>
      </c>
      <c r="H230" s="10">
        <v>1.17</v>
      </c>
      <c r="I230" s="10">
        <v>51.74</v>
      </c>
      <c r="J230" s="10">
        <v>46.53</v>
      </c>
      <c r="K230" s="10">
        <v>36.74</v>
      </c>
      <c r="N230" s="10"/>
      <c r="O230" s="10"/>
      <c r="P230" s="10"/>
      <c r="Q230" s="10"/>
      <c r="R230" s="10"/>
    </row>
    <row r="231" spans="1:19" x14ac:dyDescent="0.2">
      <c r="A231">
        <v>2022</v>
      </c>
      <c r="B231" s="8" t="s">
        <v>209</v>
      </c>
      <c r="C231" s="8" t="s">
        <v>210</v>
      </c>
      <c r="D231" s="10">
        <v>9.41</v>
      </c>
      <c r="E231" s="10">
        <v>12.02</v>
      </c>
      <c r="F231" s="10">
        <v>26.31</v>
      </c>
      <c r="G231" s="10">
        <v>1.1200000000000001</v>
      </c>
      <c r="H231" s="10">
        <v>1.5</v>
      </c>
      <c r="I231" s="10">
        <v>34.29</v>
      </c>
      <c r="J231" s="10">
        <v>28.45</v>
      </c>
      <c r="K231" s="10">
        <v>22.89</v>
      </c>
      <c r="N231" s="10"/>
      <c r="O231" s="10"/>
      <c r="P231" s="10"/>
      <c r="Q231" s="10"/>
      <c r="R231" s="10"/>
    </row>
    <row r="232" spans="1:19" x14ac:dyDescent="0.2">
      <c r="A232">
        <v>2023</v>
      </c>
      <c r="B232" s="8" t="s">
        <v>209</v>
      </c>
      <c r="C232" s="8" t="s">
        <v>210</v>
      </c>
      <c r="D232" s="10">
        <v>7.23</v>
      </c>
      <c r="E232" s="10">
        <v>9.36</v>
      </c>
      <c r="F232" s="10">
        <v>18.98</v>
      </c>
      <c r="G232" s="10">
        <v>1.1499999999999999</v>
      </c>
      <c r="H232" s="10">
        <v>1.48</v>
      </c>
      <c r="I232" s="10">
        <v>31.22</v>
      </c>
      <c r="J232" s="10">
        <v>23.7</v>
      </c>
      <c r="K232" s="10">
        <v>20.420000000000002</v>
      </c>
      <c r="N232" s="10"/>
      <c r="O232" s="10"/>
      <c r="P232" s="10"/>
      <c r="Q232" s="10"/>
      <c r="R232" s="10"/>
    </row>
    <row r="233" spans="1:19" x14ac:dyDescent="0.2">
      <c r="A233">
        <v>2024</v>
      </c>
      <c r="B233" s="8" t="s">
        <v>209</v>
      </c>
      <c r="C233" s="8" t="s">
        <v>210</v>
      </c>
      <c r="D233" s="10">
        <v>6.12</v>
      </c>
      <c r="E233" s="10">
        <v>7.81</v>
      </c>
      <c r="F233" s="10">
        <v>17.37</v>
      </c>
      <c r="G233" s="10">
        <v>1.39</v>
      </c>
      <c r="H233" s="10">
        <v>1.75</v>
      </c>
      <c r="I233" s="10">
        <v>34.35</v>
      </c>
      <c r="J233" s="10">
        <v>24.5</v>
      </c>
      <c r="K233" s="10">
        <v>21.46</v>
      </c>
    </row>
    <row r="234" spans="1:19" x14ac:dyDescent="0.2">
      <c r="A234">
        <v>2025</v>
      </c>
      <c r="B234" s="8" t="s">
        <v>209</v>
      </c>
      <c r="C234" s="8" t="s">
        <v>210</v>
      </c>
      <c r="D234" s="10">
        <v>6.46</v>
      </c>
      <c r="E234" s="10">
        <v>7.96</v>
      </c>
      <c r="F234" s="10">
        <v>17.87</v>
      </c>
      <c r="G234" s="10">
        <v>1.29</v>
      </c>
      <c r="H234" s="10">
        <v>1.66</v>
      </c>
      <c r="I234" s="10">
        <v>31.45</v>
      </c>
      <c r="J234" s="10">
        <v>22.99</v>
      </c>
      <c r="K234" s="10">
        <v>20.89</v>
      </c>
    </row>
    <row r="235" spans="1:19" x14ac:dyDescent="0.2">
      <c r="A235">
        <v>2026</v>
      </c>
      <c r="B235" s="8" t="s">
        <v>209</v>
      </c>
      <c r="C235" s="8" t="s">
        <v>210</v>
      </c>
      <c r="D235" s="10">
        <v>6.46</v>
      </c>
      <c r="E235" s="10">
        <v>7.87</v>
      </c>
      <c r="F235" s="10">
        <v>18.850000000000001</v>
      </c>
      <c r="G235" s="10">
        <v>1.53</v>
      </c>
      <c r="H235" s="10">
        <v>1.89</v>
      </c>
      <c r="I235" s="10">
        <v>32.67</v>
      </c>
      <c r="J235" s="10">
        <v>28.02</v>
      </c>
      <c r="K235" s="10">
        <v>22.23</v>
      </c>
    </row>
    <row r="236" spans="1:19" x14ac:dyDescent="0.2">
      <c r="A236">
        <v>2022</v>
      </c>
      <c r="B236" s="8" t="s">
        <v>127</v>
      </c>
      <c r="C236" s="8" t="s">
        <v>128</v>
      </c>
      <c r="D236" s="10">
        <v>19.100000000000001</v>
      </c>
      <c r="E236" s="10">
        <v>25.6</v>
      </c>
      <c r="F236" s="10">
        <v>30.78</v>
      </c>
      <c r="G236" s="10">
        <v>2.38</v>
      </c>
      <c r="H236" s="10">
        <v>3.08</v>
      </c>
      <c r="I236" s="10">
        <v>54.4</v>
      </c>
      <c r="J236" s="10">
        <v>47.21</v>
      </c>
      <c r="K236" s="10">
        <v>45.61</v>
      </c>
    </row>
    <row r="237" spans="1:19" x14ac:dyDescent="0.2">
      <c r="A237">
        <v>2023</v>
      </c>
      <c r="B237" s="8" t="s">
        <v>127</v>
      </c>
      <c r="C237" s="8" t="s">
        <v>128</v>
      </c>
      <c r="D237" s="10">
        <v>18.12</v>
      </c>
      <c r="E237" s="10">
        <v>23.46</v>
      </c>
      <c r="F237" s="10">
        <v>31.63</v>
      </c>
      <c r="G237" s="10">
        <v>2.17</v>
      </c>
      <c r="H237" s="10">
        <v>3.03</v>
      </c>
      <c r="I237" s="10">
        <v>30.6</v>
      </c>
      <c r="J237" s="10">
        <v>38.229999999999997</v>
      </c>
      <c r="K237" s="10">
        <v>24.58</v>
      </c>
    </row>
    <row r="238" spans="1:19" x14ac:dyDescent="0.2">
      <c r="A238">
        <v>2024</v>
      </c>
      <c r="B238" s="8" t="s">
        <v>127</v>
      </c>
      <c r="C238" s="8" t="s">
        <v>128</v>
      </c>
      <c r="D238" s="10">
        <v>13.85</v>
      </c>
      <c r="E238" s="10">
        <v>17.739999999999998</v>
      </c>
      <c r="F238" s="10">
        <v>28.49</v>
      </c>
      <c r="G238" s="10">
        <v>2.62</v>
      </c>
      <c r="H238" s="10">
        <v>3.38</v>
      </c>
      <c r="I238" s="10">
        <v>33.130000000000003</v>
      </c>
      <c r="J238" s="10">
        <v>51.87</v>
      </c>
      <c r="K238" s="10">
        <v>28.94</v>
      </c>
    </row>
    <row r="239" spans="1:19" x14ac:dyDescent="0.2">
      <c r="A239">
        <v>2025</v>
      </c>
      <c r="B239" s="8" t="s">
        <v>127</v>
      </c>
      <c r="C239" s="8" t="s">
        <v>128</v>
      </c>
      <c r="D239" s="10">
        <v>12.5</v>
      </c>
      <c r="E239" s="10">
        <v>15.57</v>
      </c>
      <c r="F239" s="10">
        <v>26.55</v>
      </c>
      <c r="G239" s="10">
        <v>3.45</v>
      </c>
      <c r="H239" s="10">
        <v>4.18</v>
      </c>
      <c r="I239" s="10">
        <v>50.73</v>
      </c>
      <c r="J239" s="10">
        <v>81.81</v>
      </c>
      <c r="K239" s="10">
        <v>25.66</v>
      </c>
    </row>
    <row r="240" spans="1:19" x14ac:dyDescent="0.2">
      <c r="A240">
        <v>2026</v>
      </c>
      <c r="B240" s="8" t="s">
        <v>127</v>
      </c>
      <c r="C240" s="8" t="s">
        <v>128</v>
      </c>
      <c r="D240" s="10">
        <v>7.93</v>
      </c>
      <c r="E240" s="10">
        <v>9.77</v>
      </c>
      <c r="F240" s="10">
        <v>26.87</v>
      </c>
      <c r="G240" s="10">
        <v>3.09</v>
      </c>
      <c r="H240" s="10">
        <v>3.72</v>
      </c>
      <c r="I240" s="10">
        <v>47.11</v>
      </c>
      <c r="J240" s="10">
        <v>31.31</v>
      </c>
      <c r="K240" s="10">
        <v>25.92</v>
      </c>
    </row>
    <row r="241" spans="1:18" x14ac:dyDescent="0.2">
      <c r="A241">
        <v>2022</v>
      </c>
      <c r="B241" s="8" t="s">
        <v>217</v>
      </c>
      <c r="C241" s="8" t="s">
        <v>218</v>
      </c>
      <c r="D241" s="10">
        <v>18.600000000000001</v>
      </c>
      <c r="E241" s="10">
        <v>22.78</v>
      </c>
      <c r="F241" s="10">
        <v>36.94</v>
      </c>
      <c r="G241" s="10">
        <v>4.3</v>
      </c>
      <c r="H241" s="10">
        <v>4.46</v>
      </c>
      <c r="I241" s="10">
        <v>24.37</v>
      </c>
      <c r="J241" s="10">
        <v>21.59</v>
      </c>
      <c r="K241" s="10">
        <v>17.07</v>
      </c>
    </row>
    <row r="242" spans="1:18" x14ac:dyDescent="0.2">
      <c r="A242">
        <v>2023</v>
      </c>
      <c r="B242" s="8" t="s">
        <v>217</v>
      </c>
      <c r="C242" s="8" t="s">
        <v>218</v>
      </c>
      <c r="D242" s="10">
        <v>21.04</v>
      </c>
      <c r="E242" s="10">
        <v>25.84</v>
      </c>
      <c r="F242" s="10">
        <v>47.81</v>
      </c>
      <c r="G242" s="10">
        <v>4.66</v>
      </c>
      <c r="H242" s="10">
        <v>4.83</v>
      </c>
      <c r="I242" s="10">
        <v>22.52</v>
      </c>
      <c r="J242" s="10">
        <v>18.12</v>
      </c>
      <c r="K242" s="10">
        <v>14.89</v>
      </c>
      <c r="M242" s="10"/>
      <c r="N242" s="10"/>
      <c r="O242" s="10"/>
      <c r="P242" s="10"/>
      <c r="Q242" s="10"/>
      <c r="R242" s="10"/>
    </row>
    <row r="243" spans="1:18" x14ac:dyDescent="0.2">
      <c r="A243">
        <v>2024</v>
      </c>
      <c r="B243" s="8" t="s">
        <v>217</v>
      </c>
      <c r="C243" s="8" t="s">
        <v>218</v>
      </c>
      <c r="D243" s="10">
        <v>17.559999999999999</v>
      </c>
      <c r="E243" s="10">
        <v>21.92</v>
      </c>
      <c r="F243" s="10">
        <v>43.47</v>
      </c>
      <c r="G243" s="10">
        <v>3.78</v>
      </c>
      <c r="H243" s="10">
        <v>3.99</v>
      </c>
      <c r="I243" s="10">
        <v>29.28</v>
      </c>
      <c r="J243" s="10">
        <v>29.96</v>
      </c>
      <c r="K243" s="10">
        <v>21.35</v>
      </c>
      <c r="M243" s="10"/>
      <c r="N243" s="10"/>
      <c r="O243" s="10"/>
      <c r="P243" s="10"/>
      <c r="Q243" s="10"/>
    </row>
    <row r="244" spans="1:18" x14ac:dyDescent="0.2">
      <c r="A244">
        <v>2025</v>
      </c>
      <c r="B244" s="8" t="s">
        <v>217</v>
      </c>
      <c r="C244" s="8" t="s">
        <v>218</v>
      </c>
      <c r="D244" s="10">
        <v>-2.3199999999999998</v>
      </c>
      <c r="E244" s="10">
        <v>-2.95</v>
      </c>
      <c r="F244" s="10">
        <v>39.69</v>
      </c>
      <c r="G244" s="10">
        <v>2.35</v>
      </c>
      <c r="H244" s="10">
        <v>2.69</v>
      </c>
      <c r="I244" s="10"/>
      <c r="J244" s="10"/>
      <c r="K244" s="10">
        <v>21.44</v>
      </c>
    </row>
    <row r="245" spans="1:18" x14ac:dyDescent="0.2">
      <c r="A245">
        <v>2026</v>
      </c>
      <c r="B245" s="8" t="s">
        <v>217</v>
      </c>
      <c r="C245" s="8" t="s">
        <v>218</v>
      </c>
      <c r="D245" s="10">
        <v>16.059999999999999</v>
      </c>
      <c r="E245" s="10">
        <v>20.440000000000001</v>
      </c>
      <c r="F245" s="10">
        <v>39.43</v>
      </c>
      <c r="G245" s="10">
        <v>2.46</v>
      </c>
      <c r="H245" s="10">
        <v>2.9</v>
      </c>
      <c r="I245" s="10">
        <v>29.59</v>
      </c>
      <c r="J245" s="10">
        <v>32.21</v>
      </c>
      <c r="K245" s="10">
        <v>22.24</v>
      </c>
    </row>
    <row r="246" spans="1:18" x14ac:dyDescent="0.2">
      <c r="A246">
        <v>2022</v>
      </c>
      <c r="B246" s="8" t="s">
        <v>156</v>
      </c>
      <c r="C246" s="8" t="s">
        <v>157</v>
      </c>
      <c r="D246" s="10">
        <v>25.04</v>
      </c>
      <c r="E246" s="10">
        <v>44.23</v>
      </c>
      <c r="F246" s="10">
        <v>26.76</v>
      </c>
      <c r="G246" s="10">
        <v>0.75</v>
      </c>
      <c r="H246" s="10">
        <v>1.1100000000000001</v>
      </c>
      <c r="I246" s="10">
        <v>51.77</v>
      </c>
      <c r="J246" s="10">
        <v>43.81</v>
      </c>
      <c r="K246" s="10">
        <v>37.54</v>
      </c>
    </row>
    <row r="247" spans="1:18" x14ac:dyDescent="0.2">
      <c r="A247">
        <v>2023</v>
      </c>
      <c r="B247" s="8" t="s">
        <v>156</v>
      </c>
      <c r="C247" s="8" t="s">
        <v>157</v>
      </c>
      <c r="D247" s="10">
        <v>25.59</v>
      </c>
      <c r="E247" s="10">
        <v>45.2</v>
      </c>
      <c r="F247" s="10">
        <v>28.73</v>
      </c>
      <c r="G247" s="10">
        <v>0.81</v>
      </c>
      <c r="H247" s="10">
        <v>1.2</v>
      </c>
      <c r="I247" s="10">
        <v>37.64</v>
      </c>
      <c r="J247" s="10">
        <v>38.229999999999997</v>
      </c>
      <c r="K247" s="10">
        <v>28.05</v>
      </c>
    </row>
    <row r="248" spans="1:18" x14ac:dyDescent="0.2">
      <c r="A248">
        <v>2024</v>
      </c>
      <c r="B248" s="8" t="s">
        <v>156</v>
      </c>
      <c r="C248" s="8" t="s">
        <v>157</v>
      </c>
      <c r="D248" s="10">
        <v>23.04</v>
      </c>
      <c r="E248" s="10">
        <v>41.02</v>
      </c>
      <c r="F248" s="10">
        <v>28.5</v>
      </c>
      <c r="G248" s="10">
        <v>0.71</v>
      </c>
      <c r="H248" s="10">
        <v>1.04</v>
      </c>
      <c r="I248" s="10">
        <v>33.79</v>
      </c>
      <c r="J248" s="10">
        <v>27.59</v>
      </c>
      <c r="K248" s="10">
        <v>23.87</v>
      </c>
    </row>
    <row r="249" spans="1:18" x14ac:dyDescent="0.2">
      <c r="A249">
        <v>2025</v>
      </c>
      <c r="B249" s="8" t="s">
        <v>156</v>
      </c>
      <c r="C249" s="8" t="s">
        <v>157</v>
      </c>
      <c r="D249" s="10">
        <v>26.17</v>
      </c>
      <c r="E249" s="10">
        <v>47.72</v>
      </c>
      <c r="F249" s="10">
        <v>29.11</v>
      </c>
      <c r="G249" s="10">
        <v>0.73</v>
      </c>
      <c r="H249" s="10">
        <v>1.02</v>
      </c>
      <c r="I249" s="10">
        <v>30.23</v>
      </c>
      <c r="J249" s="10">
        <v>26.94</v>
      </c>
      <c r="K249" s="10">
        <v>22.43</v>
      </c>
      <c r="L249" s="10"/>
      <c r="M249" s="10"/>
      <c r="N249" s="10"/>
      <c r="O249" s="10"/>
      <c r="P249" s="10"/>
    </row>
    <row r="250" spans="1:18" x14ac:dyDescent="0.2">
      <c r="A250">
        <v>2026</v>
      </c>
      <c r="B250" s="8" t="s">
        <v>156</v>
      </c>
      <c r="C250" s="8" t="s">
        <v>157</v>
      </c>
      <c r="D250" s="10">
        <v>25</v>
      </c>
      <c r="E250" s="10">
        <v>44.18</v>
      </c>
      <c r="F250" s="10">
        <v>27.78</v>
      </c>
      <c r="G250" s="10">
        <v>0.81</v>
      </c>
      <c r="H250" s="10">
        <v>1.1399999999999999</v>
      </c>
      <c r="I250" s="10">
        <v>33.159999999999997</v>
      </c>
      <c r="J250" s="10">
        <v>30.15</v>
      </c>
      <c r="K250" s="10">
        <v>24.84</v>
      </c>
      <c r="L250" s="10"/>
      <c r="M250" s="10"/>
      <c r="N250" s="10"/>
      <c r="O250" s="10"/>
    </row>
    <row r="251" spans="1:18" x14ac:dyDescent="0.2">
      <c r="A251">
        <v>2022</v>
      </c>
      <c r="B251" s="8" t="s">
        <v>294</v>
      </c>
      <c r="C251" s="8" t="s">
        <v>295</v>
      </c>
      <c r="D251" s="10">
        <v>6.25</v>
      </c>
      <c r="E251" s="10">
        <v>8.1</v>
      </c>
      <c r="F251" s="10">
        <v>17.02</v>
      </c>
      <c r="G251" s="10">
        <v>1.04</v>
      </c>
      <c r="H251" s="10">
        <v>1.23</v>
      </c>
      <c r="I251" s="10">
        <v>48.56</v>
      </c>
      <c r="J251" s="10">
        <v>24.96</v>
      </c>
      <c r="K251" s="10">
        <v>24.73</v>
      </c>
    </row>
    <row r="252" spans="1:18" x14ac:dyDescent="0.2">
      <c r="A252">
        <v>2023</v>
      </c>
      <c r="B252" s="8" t="s">
        <v>294</v>
      </c>
      <c r="C252" s="8" t="s">
        <v>295</v>
      </c>
      <c r="D252" s="10">
        <v>6.65</v>
      </c>
      <c r="E252" s="10">
        <v>8.44</v>
      </c>
      <c r="F252" s="10">
        <v>16.41</v>
      </c>
      <c r="G252" s="10">
        <v>1.08</v>
      </c>
      <c r="H252" s="10">
        <v>1.32</v>
      </c>
      <c r="I252" s="10">
        <v>22.99</v>
      </c>
      <c r="J252" s="10">
        <v>18.04</v>
      </c>
      <c r="K252" s="10">
        <v>14.32</v>
      </c>
    </row>
    <row r="253" spans="1:18" x14ac:dyDescent="0.2">
      <c r="A253">
        <v>2024</v>
      </c>
      <c r="B253" s="8" t="s">
        <v>294</v>
      </c>
      <c r="C253" s="8" t="s">
        <v>295</v>
      </c>
      <c r="D253" s="10">
        <v>6.01</v>
      </c>
      <c r="E253" s="10">
        <v>7.45</v>
      </c>
      <c r="F253" s="10">
        <v>16.010000000000002</v>
      </c>
      <c r="G253" s="10">
        <v>1.1599999999999999</v>
      </c>
      <c r="H253" s="10">
        <v>1.52</v>
      </c>
      <c r="I253" s="10">
        <v>25.63</v>
      </c>
      <c r="J253" s="10">
        <v>17.78</v>
      </c>
      <c r="K253" s="10">
        <v>14.97</v>
      </c>
    </row>
    <row r="254" spans="1:18" x14ac:dyDescent="0.2">
      <c r="A254">
        <v>2025</v>
      </c>
      <c r="B254" s="8" t="s">
        <v>294</v>
      </c>
      <c r="C254" s="8" t="s">
        <v>295</v>
      </c>
      <c r="D254" s="10">
        <v>0.13</v>
      </c>
      <c r="E254" s="10">
        <v>0.16</v>
      </c>
      <c r="F254" s="10">
        <v>14</v>
      </c>
      <c r="G254" s="10">
        <v>1.1299999999999999</v>
      </c>
      <c r="H254" s="10">
        <v>1.41</v>
      </c>
      <c r="I254" s="10">
        <v>933.6</v>
      </c>
      <c r="J254" s="10">
        <v>13.08</v>
      </c>
      <c r="K254" s="10">
        <v>12.6</v>
      </c>
    </row>
    <row r="255" spans="1:18" x14ac:dyDescent="0.2">
      <c r="A255">
        <v>2026</v>
      </c>
      <c r="B255" s="8" t="s">
        <v>294</v>
      </c>
      <c r="C255" s="8" t="s">
        <v>295</v>
      </c>
      <c r="D255" s="10">
        <v>-1.97</v>
      </c>
      <c r="E255" s="10">
        <v>-2.42</v>
      </c>
      <c r="F255" s="10">
        <v>12.85</v>
      </c>
      <c r="G255" s="10">
        <v>1.02</v>
      </c>
      <c r="H255" s="10">
        <v>1.29</v>
      </c>
      <c r="I255" s="10"/>
      <c r="J255" s="10">
        <v>13.68</v>
      </c>
      <c r="K255" s="10">
        <v>13.13</v>
      </c>
    </row>
    <row r="256" spans="1:18" x14ac:dyDescent="0.2">
      <c r="A256">
        <v>2022</v>
      </c>
      <c r="B256" s="8" t="s">
        <v>213</v>
      </c>
      <c r="C256" s="8" t="s">
        <v>214</v>
      </c>
      <c r="D256" s="10">
        <v>11.9</v>
      </c>
      <c r="E256" s="10">
        <v>15.58</v>
      </c>
      <c r="F256" s="10">
        <v>21.63</v>
      </c>
      <c r="G256" s="10">
        <v>1.74</v>
      </c>
      <c r="H256" s="10">
        <v>2.2200000000000002</v>
      </c>
      <c r="I256" s="10">
        <v>39.96</v>
      </c>
      <c r="J256" s="10">
        <v>32.56</v>
      </c>
      <c r="K256" s="10">
        <v>29.33</v>
      </c>
    </row>
    <row r="257" spans="1:11" x14ac:dyDescent="0.2">
      <c r="A257">
        <v>2023</v>
      </c>
      <c r="B257" s="8" t="s">
        <v>213</v>
      </c>
      <c r="C257" s="8" t="s">
        <v>214</v>
      </c>
      <c r="D257" s="10">
        <v>11.81</v>
      </c>
      <c r="E257" s="10">
        <v>15.3</v>
      </c>
      <c r="F257" s="10">
        <v>23.1</v>
      </c>
      <c r="G257" s="10">
        <v>1.47</v>
      </c>
      <c r="H257" s="10">
        <v>2.0299999999999998</v>
      </c>
      <c r="I257" s="10">
        <v>33.1</v>
      </c>
      <c r="J257" s="10">
        <v>31.63</v>
      </c>
      <c r="K257" s="10">
        <v>22.76</v>
      </c>
    </row>
    <row r="258" spans="1:11" x14ac:dyDescent="0.2">
      <c r="A258">
        <v>2024</v>
      </c>
      <c r="B258" s="8" t="s">
        <v>213</v>
      </c>
      <c r="C258" s="8" t="s">
        <v>214</v>
      </c>
      <c r="D258" s="10">
        <v>11.65</v>
      </c>
      <c r="E258" s="10">
        <v>14.73</v>
      </c>
      <c r="F258" s="10">
        <v>23.83</v>
      </c>
      <c r="G258" s="10">
        <v>1.97</v>
      </c>
      <c r="H258" s="10">
        <v>2.61</v>
      </c>
      <c r="I258" s="10">
        <v>24.68</v>
      </c>
      <c r="J258" s="10">
        <v>17.27</v>
      </c>
      <c r="K258" s="10">
        <v>16.72</v>
      </c>
    </row>
    <row r="259" spans="1:11" x14ac:dyDescent="0.2">
      <c r="A259">
        <v>2025</v>
      </c>
      <c r="B259" s="8" t="s">
        <v>213</v>
      </c>
      <c r="C259" s="8" t="s">
        <v>214</v>
      </c>
      <c r="D259" s="10">
        <v>11.36</v>
      </c>
      <c r="E259" s="10">
        <v>14.26</v>
      </c>
      <c r="F259" s="10">
        <v>24.47</v>
      </c>
      <c r="G259" s="10">
        <v>1.58</v>
      </c>
      <c r="H259" s="10">
        <v>2.09</v>
      </c>
      <c r="I259" s="10">
        <v>29.42</v>
      </c>
      <c r="J259" s="10">
        <v>21.66</v>
      </c>
      <c r="K259" s="10">
        <v>21.61</v>
      </c>
    </row>
    <row r="260" spans="1:11" x14ac:dyDescent="0.2">
      <c r="A260">
        <v>2026</v>
      </c>
      <c r="B260" s="8" t="s">
        <v>213</v>
      </c>
      <c r="C260" s="8" t="s">
        <v>214</v>
      </c>
      <c r="D260" s="10">
        <v>10.55</v>
      </c>
      <c r="E260" s="10">
        <v>13.49</v>
      </c>
      <c r="F260" s="10">
        <v>22.51</v>
      </c>
      <c r="G260" s="10">
        <v>1.52</v>
      </c>
      <c r="H260" s="10">
        <v>1.96</v>
      </c>
      <c r="I260" s="10">
        <v>32.01</v>
      </c>
      <c r="J260" s="10">
        <v>26.76</v>
      </c>
      <c r="K260" s="10">
        <v>23.37</v>
      </c>
    </row>
    <row r="261" spans="1:11" x14ac:dyDescent="0.2">
      <c r="A261">
        <v>2023</v>
      </c>
      <c r="B261" s="8" t="s">
        <v>219</v>
      </c>
      <c r="C261" s="8" t="s">
        <v>220</v>
      </c>
      <c r="D261" s="10">
        <v>11.52</v>
      </c>
      <c r="E261" s="10">
        <v>13.72</v>
      </c>
      <c r="F261" s="10">
        <v>25.01</v>
      </c>
      <c r="G261" s="10">
        <v>2.64</v>
      </c>
      <c r="H261" s="10">
        <v>3.44</v>
      </c>
      <c r="I261" s="10">
        <v>52.3</v>
      </c>
      <c r="J261" s="10">
        <v>43.72</v>
      </c>
      <c r="K261" s="10">
        <v>37.68</v>
      </c>
    </row>
    <row r="262" spans="1:11" x14ac:dyDescent="0.2">
      <c r="A262">
        <v>2024</v>
      </c>
      <c r="B262" s="8" t="s">
        <v>219</v>
      </c>
      <c r="C262" s="8" t="s">
        <v>220</v>
      </c>
      <c r="D262" s="10">
        <v>11.17</v>
      </c>
      <c r="E262" s="10">
        <v>12.92</v>
      </c>
      <c r="F262" s="10">
        <v>24.69</v>
      </c>
      <c r="G262" s="10">
        <v>3.5</v>
      </c>
      <c r="H262" s="10">
        <v>4.84</v>
      </c>
      <c r="I262" s="10">
        <v>46.33</v>
      </c>
      <c r="J262" s="10">
        <v>51.94</v>
      </c>
      <c r="K262" s="10">
        <v>34.43</v>
      </c>
    </row>
    <row r="263" spans="1:11" x14ac:dyDescent="0.2">
      <c r="A263">
        <v>2025</v>
      </c>
      <c r="B263" s="8" t="s">
        <v>219</v>
      </c>
      <c r="C263" s="8" t="s">
        <v>220</v>
      </c>
      <c r="D263" s="10">
        <v>6.06</v>
      </c>
      <c r="E263" s="10">
        <v>6.88</v>
      </c>
      <c r="F263" s="10">
        <v>23.73</v>
      </c>
      <c r="G263" s="10">
        <v>2.75</v>
      </c>
      <c r="H263" s="10">
        <v>3.87</v>
      </c>
      <c r="I263" s="10">
        <v>68.540000000000006</v>
      </c>
      <c r="J263" s="10">
        <v>38.53</v>
      </c>
      <c r="K263" s="10">
        <v>30.22</v>
      </c>
    </row>
    <row r="264" spans="1:11" x14ac:dyDescent="0.2">
      <c r="A264">
        <v>2026</v>
      </c>
      <c r="B264" s="8" t="s">
        <v>219</v>
      </c>
      <c r="C264" s="8" t="s">
        <v>220</v>
      </c>
      <c r="D264" s="10">
        <v>2.73</v>
      </c>
      <c r="E264" s="10">
        <v>3.04</v>
      </c>
      <c r="F264" s="10">
        <v>20.74</v>
      </c>
      <c r="G264" s="10">
        <v>2.38</v>
      </c>
      <c r="H264" s="10">
        <v>3.46</v>
      </c>
      <c r="I264" s="10">
        <v>112.02</v>
      </c>
      <c r="J264" s="10">
        <v>28.58</v>
      </c>
      <c r="K264" s="10">
        <v>23.15</v>
      </c>
    </row>
    <row r="265" spans="1:11" x14ac:dyDescent="0.2">
      <c r="A265">
        <v>2022</v>
      </c>
      <c r="B265" s="8" t="s">
        <v>299</v>
      </c>
      <c r="C265" s="8" t="s">
        <v>300</v>
      </c>
      <c r="D265" s="10">
        <v>6.68</v>
      </c>
      <c r="E265" s="10">
        <v>7.92</v>
      </c>
      <c r="F265" s="10">
        <v>6.32</v>
      </c>
      <c r="G265" s="10">
        <v>2.09</v>
      </c>
      <c r="H265" s="10">
        <v>2.48</v>
      </c>
      <c r="I265" s="10">
        <v>75.39</v>
      </c>
      <c r="J265" s="10">
        <v>105.41</v>
      </c>
      <c r="K265" s="10">
        <v>107.64</v>
      </c>
    </row>
    <row r="266" spans="1:11" x14ac:dyDescent="0.2">
      <c r="A266">
        <v>2023</v>
      </c>
      <c r="B266" s="8" t="s">
        <v>299</v>
      </c>
      <c r="C266" s="8" t="s">
        <v>300</v>
      </c>
      <c r="D266" s="10">
        <v>-32.07</v>
      </c>
      <c r="E266" s="10">
        <v>-39.97</v>
      </c>
      <c r="F266" s="10">
        <v>7.72</v>
      </c>
      <c r="G266" s="10">
        <v>1.08</v>
      </c>
      <c r="H266" s="10">
        <v>1.28</v>
      </c>
      <c r="I266" s="10"/>
      <c r="J266" s="10">
        <v>80.98</v>
      </c>
      <c r="K266" s="10">
        <v>43.37</v>
      </c>
    </row>
    <row r="267" spans="1:11" x14ac:dyDescent="0.2">
      <c r="A267">
        <v>2024</v>
      </c>
      <c r="B267" s="8" t="s">
        <v>299</v>
      </c>
      <c r="C267" s="8" t="s">
        <v>300</v>
      </c>
      <c r="D267" s="10">
        <v>-10.38</v>
      </c>
      <c r="E267" s="10">
        <v>-13.86</v>
      </c>
      <c r="F267" s="10">
        <v>-2.09</v>
      </c>
      <c r="G267" s="10">
        <v>1.29</v>
      </c>
      <c r="H267" s="10">
        <v>1.66</v>
      </c>
      <c r="I267" s="10"/>
      <c r="J267" s="10" t="s">
        <v>324</v>
      </c>
      <c r="K267" s="10">
        <v>66.38</v>
      </c>
    </row>
    <row r="268" spans="1:11" x14ac:dyDescent="0.2">
      <c r="A268">
        <v>2025</v>
      </c>
      <c r="B268" s="8" t="s">
        <v>299</v>
      </c>
      <c r="C268" s="8" t="s">
        <v>300</v>
      </c>
      <c r="D268" s="10">
        <v>-14.9</v>
      </c>
      <c r="E268" s="10">
        <v>-19.82</v>
      </c>
      <c r="F268" s="10">
        <v>8.84</v>
      </c>
      <c r="G268" s="10">
        <v>1.42</v>
      </c>
      <c r="H268" s="10">
        <v>1.78</v>
      </c>
      <c r="I268" s="10"/>
      <c r="J268" s="10">
        <v>25.7</v>
      </c>
      <c r="K268" s="10">
        <v>30.14</v>
      </c>
    </row>
    <row r="269" spans="1:11" x14ac:dyDescent="0.2">
      <c r="A269">
        <v>2026</v>
      </c>
      <c r="B269" s="8" t="s">
        <v>299</v>
      </c>
      <c r="C269" s="8" t="s">
        <v>300</v>
      </c>
      <c r="D269" s="10">
        <v>13.13</v>
      </c>
      <c r="E269" s="10">
        <v>18.649999999999999</v>
      </c>
      <c r="F269" s="10">
        <v>19.920000000000002</v>
      </c>
      <c r="G269" s="10">
        <v>1.72</v>
      </c>
      <c r="H269" s="10">
        <v>2.08</v>
      </c>
      <c r="I269" s="10">
        <v>24.77</v>
      </c>
      <c r="J269" s="10">
        <v>19.510000000000002</v>
      </c>
      <c r="K269" s="10">
        <v>18.88</v>
      </c>
    </row>
    <row r="270" spans="1:11" x14ac:dyDescent="0.2">
      <c r="A270">
        <v>2022</v>
      </c>
      <c r="B270" s="8" t="s">
        <v>143</v>
      </c>
      <c r="C270" s="8" t="s">
        <v>144</v>
      </c>
      <c r="D270" s="10">
        <v>13.79</v>
      </c>
      <c r="E270" s="10">
        <v>15.67</v>
      </c>
      <c r="F270" s="10">
        <v>31.89</v>
      </c>
      <c r="G270" s="10">
        <v>4.57</v>
      </c>
      <c r="H270" s="10">
        <v>5.08</v>
      </c>
      <c r="I270" s="10">
        <v>77.099999999999994</v>
      </c>
      <c r="J270" s="10">
        <v>62.9</v>
      </c>
      <c r="K270" s="10">
        <v>59.53</v>
      </c>
    </row>
    <row r="271" spans="1:11" x14ac:dyDescent="0.2">
      <c r="A271">
        <v>2023</v>
      </c>
      <c r="B271" s="8" t="s">
        <v>143</v>
      </c>
      <c r="C271" s="8" t="s">
        <v>144</v>
      </c>
      <c r="D271" s="10">
        <v>9.9700000000000006</v>
      </c>
      <c r="E271" s="10">
        <v>11.46</v>
      </c>
      <c r="F271" s="10">
        <v>25.35</v>
      </c>
      <c r="G271" s="10">
        <v>3.77</v>
      </c>
      <c r="H271" s="10">
        <v>4.4000000000000004</v>
      </c>
      <c r="I271" s="10">
        <v>72.64</v>
      </c>
      <c r="J271" s="10">
        <v>64.430000000000007</v>
      </c>
      <c r="K271" s="10">
        <v>47</v>
      </c>
    </row>
    <row r="272" spans="1:11" x14ac:dyDescent="0.2">
      <c r="A272">
        <v>2024</v>
      </c>
      <c r="B272" s="8" t="s">
        <v>143</v>
      </c>
      <c r="C272" s="8" t="s">
        <v>144</v>
      </c>
      <c r="D272" s="10">
        <v>12.62</v>
      </c>
      <c r="E272" s="10">
        <v>14.69</v>
      </c>
      <c r="F272" s="10">
        <v>24.8</v>
      </c>
      <c r="G272" s="10">
        <v>4.0199999999999996</v>
      </c>
      <c r="H272" s="10">
        <v>4.76</v>
      </c>
      <c r="I272" s="10">
        <v>67.06</v>
      </c>
      <c r="J272" s="10">
        <v>66.48</v>
      </c>
      <c r="K272" s="10">
        <v>52.42</v>
      </c>
    </row>
    <row r="273" spans="1:16" x14ac:dyDescent="0.2">
      <c r="A273">
        <v>2025</v>
      </c>
      <c r="B273" s="8" t="s">
        <v>143</v>
      </c>
      <c r="C273" s="8" t="s">
        <v>144</v>
      </c>
      <c r="D273" s="10">
        <v>13.52</v>
      </c>
      <c r="E273" s="10">
        <v>15.53</v>
      </c>
      <c r="F273" s="10" t="s">
        <v>325</v>
      </c>
      <c r="G273" s="10">
        <v>3.22</v>
      </c>
      <c r="H273" s="10">
        <v>4.07</v>
      </c>
      <c r="I273" s="10">
        <v>81.349999999999994</v>
      </c>
      <c r="J273" s="10">
        <v>78.239999999999995</v>
      </c>
      <c r="K273" s="10">
        <v>65.97</v>
      </c>
    </row>
    <row r="274" spans="1:16" x14ac:dyDescent="0.2">
      <c r="A274">
        <v>2026</v>
      </c>
      <c r="B274" s="8" t="s">
        <v>143</v>
      </c>
      <c r="C274" s="8" t="s">
        <v>144</v>
      </c>
      <c r="D274" s="10">
        <v>14.47</v>
      </c>
      <c r="E274" s="10">
        <v>16.559999999999999</v>
      </c>
      <c r="F274" s="10">
        <v>29.27</v>
      </c>
      <c r="G274" s="10">
        <v>3.96</v>
      </c>
      <c r="H274" s="10">
        <v>4.87</v>
      </c>
      <c r="I274" s="10">
        <v>71.930000000000007</v>
      </c>
      <c r="J274" s="10">
        <v>67.78</v>
      </c>
      <c r="K274" s="10">
        <v>55.9</v>
      </c>
    </row>
    <row r="275" spans="1:16" x14ac:dyDescent="0.2">
      <c r="A275">
        <v>2022</v>
      </c>
      <c r="B275" s="8" t="s">
        <v>221</v>
      </c>
      <c r="C275" s="8" t="s">
        <v>222</v>
      </c>
      <c r="D275" s="10">
        <v>21.67</v>
      </c>
      <c r="E275" s="10">
        <v>27.72</v>
      </c>
      <c r="F275" s="10">
        <v>26.8</v>
      </c>
      <c r="G275" s="10">
        <v>2.2999999999999998</v>
      </c>
      <c r="H275" s="10">
        <v>2.93</v>
      </c>
      <c r="I275" s="10">
        <v>54.07</v>
      </c>
      <c r="J275" s="10">
        <v>61.28</v>
      </c>
      <c r="K275" s="10">
        <v>40.04</v>
      </c>
    </row>
    <row r="276" spans="1:16" x14ac:dyDescent="0.2">
      <c r="A276">
        <v>2023</v>
      </c>
      <c r="B276" s="8" t="s">
        <v>221</v>
      </c>
      <c r="C276" s="8" t="s">
        <v>222</v>
      </c>
      <c r="D276" s="10">
        <v>16.91</v>
      </c>
      <c r="E276" s="10">
        <v>20.96</v>
      </c>
      <c r="F276" s="10">
        <v>26.46</v>
      </c>
      <c r="G276" s="10">
        <v>2.9</v>
      </c>
      <c r="H276" s="10">
        <v>3.7</v>
      </c>
      <c r="I276" s="10">
        <v>30.45</v>
      </c>
      <c r="J276" s="10">
        <v>24.64</v>
      </c>
      <c r="K276" s="10">
        <v>19.399999999999999</v>
      </c>
    </row>
    <row r="277" spans="1:16" x14ac:dyDescent="0.2">
      <c r="A277">
        <v>2024</v>
      </c>
      <c r="B277" s="8" t="s">
        <v>221</v>
      </c>
      <c r="C277" s="8" t="s">
        <v>222</v>
      </c>
      <c r="D277" s="10">
        <v>15.94</v>
      </c>
      <c r="E277" s="10">
        <v>19.7</v>
      </c>
      <c r="F277" s="10">
        <v>24.09</v>
      </c>
      <c r="G277" s="10">
        <v>2.2400000000000002</v>
      </c>
      <c r="H277" s="10">
        <v>2.88</v>
      </c>
      <c r="I277" s="10">
        <v>44.68</v>
      </c>
      <c r="J277" s="10">
        <v>34.15</v>
      </c>
      <c r="K277" s="10">
        <v>30.5</v>
      </c>
    </row>
    <row r="278" spans="1:16" x14ac:dyDescent="0.2">
      <c r="A278">
        <v>2025</v>
      </c>
      <c r="B278" s="8" t="s">
        <v>221</v>
      </c>
      <c r="C278" s="8" t="s">
        <v>222</v>
      </c>
      <c r="D278" s="10">
        <v>13.19</v>
      </c>
      <c r="E278" s="10">
        <v>16.399999999999999</v>
      </c>
      <c r="F278" s="10">
        <v>20.56</v>
      </c>
      <c r="G278" s="10">
        <v>2.11</v>
      </c>
      <c r="H278" s="10">
        <v>2.79</v>
      </c>
      <c r="I278" s="10">
        <v>49</v>
      </c>
      <c r="J278" s="10">
        <v>36.950000000000003</v>
      </c>
      <c r="K278" s="10">
        <v>31.82</v>
      </c>
    </row>
    <row r="279" spans="1:16" x14ac:dyDescent="0.2">
      <c r="A279">
        <v>2026</v>
      </c>
      <c r="B279" s="8" t="s">
        <v>221</v>
      </c>
      <c r="C279" s="8" t="s">
        <v>222</v>
      </c>
      <c r="D279" s="10">
        <v>12.48</v>
      </c>
      <c r="E279" s="10">
        <v>15.32</v>
      </c>
      <c r="F279" s="10">
        <v>20.7</v>
      </c>
      <c r="G279" s="10">
        <v>2.34</v>
      </c>
      <c r="H279" s="10">
        <v>3.02</v>
      </c>
      <c r="I279" s="10">
        <v>40.520000000000003</v>
      </c>
      <c r="J279" s="10">
        <v>26.5</v>
      </c>
      <c r="K279" s="10">
        <v>24.03</v>
      </c>
    </row>
    <row r="280" spans="1:16" x14ac:dyDescent="0.2">
      <c r="A280">
        <v>2022</v>
      </c>
      <c r="B280" s="8" t="s">
        <v>149</v>
      </c>
      <c r="C280" s="8" t="s">
        <v>304</v>
      </c>
      <c r="D280" s="10">
        <v>11.7</v>
      </c>
      <c r="E280" s="10">
        <v>23.98</v>
      </c>
      <c r="F280" s="10">
        <v>26.65</v>
      </c>
      <c r="G280" s="10">
        <v>0.97</v>
      </c>
      <c r="H280" s="10">
        <v>1.23</v>
      </c>
      <c r="I280" s="10">
        <v>45.12</v>
      </c>
      <c r="J280" s="10">
        <v>34.68</v>
      </c>
      <c r="K280" s="10">
        <v>29.13</v>
      </c>
    </row>
    <row r="281" spans="1:16" x14ac:dyDescent="0.2">
      <c r="A281">
        <v>2023</v>
      </c>
      <c r="B281" s="8" t="s">
        <v>149</v>
      </c>
      <c r="C281" s="8" t="s">
        <v>304</v>
      </c>
      <c r="D281" s="10">
        <v>12.71</v>
      </c>
      <c r="E281" s="10">
        <v>25.12</v>
      </c>
      <c r="F281" s="10">
        <v>29.01</v>
      </c>
      <c r="G281" s="10">
        <v>0.8</v>
      </c>
      <c r="H281" s="10">
        <v>1.05</v>
      </c>
      <c r="I281" s="10">
        <v>53</v>
      </c>
      <c r="J281" s="10">
        <v>46.71</v>
      </c>
      <c r="K281" s="10">
        <v>35.200000000000003</v>
      </c>
    </row>
    <row r="282" spans="1:16" x14ac:dyDescent="0.2">
      <c r="A282">
        <v>2024</v>
      </c>
      <c r="B282" s="8" t="s">
        <v>149</v>
      </c>
      <c r="C282" s="8" t="s">
        <v>304</v>
      </c>
      <c r="D282" s="10">
        <v>9.23</v>
      </c>
      <c r="E282" s="10">
        <v>19.239999999999998</v>
      </c>
      <c r="F282" s="10">
        <v>30.26</v>
      </c>
      <c r="G282" s="10">
        <v>0.73</v>
      </c>
      <c r="H282" s="10">
        <v>0.94</v>
      </c>
      <c r="I282" s="10">
        <v>100.48</v>
      </c>
      <c r="J282" s="10">
        <v>124.18</v>
      </c>
      <c r="K282" s="10">
        <v>46.31</v>
      </c>
    </row>
    <row r="283" spans="1:16" x14ac:dyDescent="0.2">
      <c r="A283">
        <v>2025</v>
      </c>
      <c r="B283" s="8" t="s">
        <v>149</v>
      </c>
      <c r="C283" s="8" t="s">
        <v>304</v>
      </c>
      <c r="D283" s="10">
        <v>14.84</v>
      </c>
      <c r="E283" s="10">
        <v>29.49</v>
      </c>
      <c r="F283" s="10">
        <v>37.83</v>
      </c>
      <c r="G283" s="10">
        <v>0.89</v>
      </c>
      <c r="H283" s="10">
        <v>1.1499999999999999</v>
      </c>
      <c r="I283" s="10">
        <v>65.91</v>
      </c>
      <c r="J283" s="10">
        <v>79.150000000000006</v>
      </c>
      <c r="K283" s="10">
        <v>38.72</v>
      </c>
    </row>
    <row r="284" spans="1:16" x14ac:dyDescent="0.2">
      <c r="A284">
        <v>2026</v>
      </c>
      <c r="B284" s="8" t="s">
        <v>149</v>
      </c>
      <c r="C284" s="8" t="s">
        <v>304</v>
      </c>
      <c r="D284" s="10">
        <v>21.59</v>
      </c>
      <c r="E284" s="10">
        <v>37.1</v>
      </c>
      <c r="F284" s="10">
        <v>45.56</v>
      </c>
      <c r="G284" s="10">
        <v>1.19</v>
      </c>
      <c r="H284" s="10">
        <v>1.58</v>
      </c>
      <c r="I284" s="10">
        <v>46.82</v>
      </c>
      <c r="J284" s="10">
        <v>57.48</v>
      </c>
      <c r="K284" s="10">
        <v>31.61</v>
      </c>
      <c r="P284" s="10"/>
    </row>
    <row r="285" spans="1:16" x14ac:dyDescent="0.2">
      <c r="A285">
        <v>2022</v>
      </c>
      <c r="B285" s="8" t="s">
        <v>223</v>
      </c>
      <c r="C285" s="8" t="s">
        <v>224</v>
      </c>
      <c r="D285" s="10">
        <v>11.7</v>
      </c>
      <c r="E285" s="10">
        <v>23.98</v>
      </c>
      <c r="F285" s="10">
        <v>26.65</v>
      </c>
      <c r="G285" s="10">
        <v>0.97</v>
      </c>
      <c r="H285" s="10">
        <v>1.23</v>
      </c>
      <c r="I285" s="10">
        <v>45.12</v>
      </c>
      <c r="J285" s="10">
        <v>34.68</v>
      </c>
      <c r="K285" s="10">
        <v>29.13</v>
      </c>
      <c r="P285" s="10"/>
    </row>
    <row r="286" spans="1:16" x14ac:dyDescent="0.2">
      <c r="A286">
        <v>2023</v>
      </c>
      <c r="B286" s="8" t="s">
        <v>223</v>
      </c>
      <c r="C286" s="8" t="s">
        <v>224</v>
      </c>
      <c r="D286" s="10">
        <v>12.71</v>
      </c>
      <c r="E286" s="10">
        <v>25.12</v>
      </c>
      <c r="F286" s="10">
        <v>29.01</v>
      </c>
      <c r="G286" s="10">
        <v>0.8</v>
      </c>
      <c r="H286" s="10">
        <v>1.05</v>
      </c>
      <c r="I286" s="10">
        <v>53</v>
      </c>
      <c r="J286" s="10">
        <v>46.71</v>
      </c>
      <c r="K286" s="10">
        <v>35.200000000000003</v>
      </c>
      <c r="P286" s="10"/>
    </row>
    <row r="287" spans="1:16" x14ac:dyDescent="0.2">
      <c r="A287">
        <v>2024</v>
      </c>
      <c r="B287" s="8" t="s">
        <v>223</v>
      </c>
      <c r="C287" s="8" t="s">
        <v>224</v>
      </c>
      <c r="D287" s="10">
        <v>9.23</v>
      </c>
      <c r="E287" s="10">
        <v>19.239999999999998</v>
      </c>
      <c r="F287" s="10">
        <v>30.26</v>
      </c>
      <c r="G287" s="10">
        <v>0.73</v>
      </c>
      <c r="H287" s="10">
        <v>0.94</v>
      </c>
      <c r="I287" s="10">
        <v>100.48</v>
      </c>
      <c r="J287" s="10">
        <v>124.18</v>
      </c>
      <c r="K287" s="10">
        <v>46.31</v>
      </c>
      <c r="L287" s="10"/>
      <c r="M287" s="10"/>
      <c r="N287" s="10"/>
      <c r="O287" s="10"/>
      <c r="P287" s="10"/>
    </row>
    <row r="288" spans="1:16" x14ac:dyDescent="0.2">
      <c r="A288">
        <v>2025</v>
      </c>
      <c r="B288" s="8" t="s">
        <v>223</v>
      </c>
      <c r="C288" s="8" t="s">
        <v>224</v>
      </c>
      <c r="D288" s="10">
        <v>14.84</v>
      </c>
      <c r="E288" s="10">
        <v>29.49</v>
      </c>
      <c r="F288" s="10">
        <v>37.83</v>
      </c>
      <c r="G288" s="10">
        <v>0.89</v>
      </c>
      <c r="H288" s="10">
        <v>1.1499999999999999</v>
      </c>
      <c r="I288" s="10">
        <v>65.91</v>
      </c>
      <c r="J288" s="10">
        <v>79.150000000000006</v>
      </c>
      <c r="K288" s="10">
        <v>38.72</v>
      </c>
      <c r="L288" s="10"/>
      <c r="M288" s="10"/>
      <c r="N288" s="10"/>
      <c r="O288" s="10"/>
      <c r="P288" s="10"/>
    </row>
    <row r="289" spans="1:15" x14ac:dyDescent="0.2">
      <c r="A289">
        <v>2026</v>
      </c>
      <c r="B289" s="8" t="s">
        <v>223</v>
      </c>
      <c r="C289" s="8" t="s">
        <v>224</v>
      </c>
      <c r="D289" s="10">
        <v>21.59</v>
      </c>
      <c r="E289" s="10">
        <v>37.1</v>
      </c>
      <c r="F289" s="10">
        <v>45.56</v>
      </c>
      <c r="G289" s="10">
        <v>1.19</v>
      </c>
      <c r="H289" s="10">
        <v>1.58</v>
      </c>
      <c r="I289" s="10">
        <v>46.82</v>
      </c>
      <c r="J289" s="10">
        <v>57.48</v>
      </c>
      <c r="K289" s="10">
        <v>31.61</v>
      </c>
      <c r="L289" s="10"/>
      <c r="M289" s="10"/>
      <c r="N289" s="10"/>
      <c r="O289" s="10"/>
    </row>
    <row r="290" spans="1:15" x14ac:dyDescent="0.2">
      <c r="A290">
        <v>2022</v>
      </c>
      <c r="B290" s="8" t="s">
        <v>307</v>
      </c>
      <c r="C290" s="8" t="s">
        <v>308</v>
      </c>
      <c r="D290" s="10">
        <v>75.78</v>
      </c>
      <c r="E290" s="10">
        <v>138.51</v>
      </c>
      <c r="F290" s="10">
        <v>71.89</v>
      </c>
      <c r="G290" s="10">
        <v>1.6</v>
      </c>
      <c r="H290" s="10">
        <v>1.76</v>
      </c>
      <c r="I290" s="10">
        <v>8.9700000000000006</v>
      </c>
      <c r="J290" s="10">
        <v>8.0399999999999991</v>
      </c>
      <c r="K290" s="10">
        <v>7.39</v>
      </c>
    </row>
    <row r="291" spans="1:15" x14ac:dyDescent="0.2">
      <c r="A291">
        <v>2023</v>
      </c>
      <c r="B291" s="8" t="s">
        <v>307</v>
      </c>
      <c r="C291" s="8" t="s">
        <v>308</v>
      </c>
      <c r="D291" s="10">
        <v>32.82</v>
      </c>
      <c r="E291" s="10">
        <v>47.81</v>
      </c>
      <c r="F291" s="10">
        <v>48.49</v>
      </c>
      <c r="G291" s="10">
        <v>2.54</v>
      </c>
      <c r="H291" s="10">
        <v>2.73</v>
      </c>
      <c r="I291" s="10">
        <v>8.94</v>
      </c>
      <c r="J291" s="10">
        <v>15</v>
      </c>
      <c r="K291" s="10">
        <v>6.85</v>
      </c>
    </row>
    <row r="292" spans="1:15" x14ac:dyDescent="0.2">
      <c r="A292">
        <v>2024</v>
      </c>
      <c r="B292" s="8" t="s">
        <v>307</v>
      </c>
      <c r="C292" s="8" t="s">
        <v>308</v>
      </c>
      <c r="D292" s="10">
        <v>-21.18</v>
      </c>
      <c r="E292" s="10">
        <v>-26.78</v>
      </c>
      <c r="F292" s="10">
        <v>-62.09</v>
      </c>
      <c r="G292" s="10">
        <v>3.36</v>
      </c>
      <c r="H292" s="10">
        <v>3.42</v>
      </c>
      <c r="I292" s="10"/>
      <c r="J292" s="10"/>
      <c r="K292" s="10"/>
    </row>
    <row r="293" spans="1:15" x14ac:dyDescent="0.2">
      <c r="A293">
        <v>2025</v>
      </c>
      <c r="B293" s="8" t="s">
        <v>307</v>
      </c>
      <c r="C293" s="8" t="s">
        <v>308</v>
      </c>
      <c r="D293" s="10">
        <v>-21.87</v>
      </c>
      <c r="E293" s="10">
        <v>-26.69</v>
      </c>
      <c r="F293" s="10">
        <v>-121.91</v>
      </c>
      <c r="G293" s="10">
        <v>3.62</v>
      </c>
      <c r="H293" s="10">
        <v>3.67</v>
      </c>
      <c r="I293" s="10"/>
      <c r="J293" s="10"/>
      <c r="K293" s="10"/>
    </row>
    <row r="294" spans="1:15" x14ac:dyDescent="0.2">
      <c r="A294">
        <v>2026</v>
      </c>
      <c r="B294" s="8" t="s">
        <v>307</v>
      </c>
      <c r="C294" s="8" t="s">
        <v>308</v>
      </c>
      <c r="D294" s="10">
        <v>-21.31</v>
      </c>
      <c r="E294" s="10">
        <v>-26.22</v>
      </c>
      <c r="F294" s="10">
        <v>-158.13</v>
      </c>
      <c r="G294" s="10">
        <v>3.22</v>
      </c>
      <c r="H294" s="10">
        <v>3.29</v>
      </c>
      <c r="I294" s="10"/>
      <c r="J294" s="10"/>
      <c r="K294" s="10"/>
    </row>
    <row r="295" spans="1:15" x14ac:dyDescent="0.2">
      <c r="A295">
        <v>2023</v>
      </c>
      <c r="B295" s="8" t="s">
        <v>310</v>
      </c>
      <c r="C295" s="8" t="s">
        <v>311</v>
      </c>
      <c r="D295" s="10"/>
      <c r="E295" s="10"/>
      <c r="F295" s="10">
        <v>20.82</v>
      </c>
      <c r="G295" s="10">
        <v>1.04</v>
      </c>
      <c r="H295" s="10">
        <v>1.7</v>
      </c>
      <c r="I295" s="10"/>
      <c r="J295" s="10"/>
      <c r="K295" s="10"/>
    </row>
    <row r="296" spans="1:15" x14ac:dyDescent="0.2">
      <c r="A296">
        <v>2024</v>
      </c>
      <c r="B296" s="8" t="s">
        <v>310</v>
      </c>
      <c r="C296" s="8" t="s">
        <v>311</v>
      </c>
      <c r="D296" s="10">
        <v>9.7799999999999994</v>
      </c>
      <c r="E296" s="10">
        <v>11.43</v>
      </c>
      <c r="F296" s="10">
        <v>20.64</v>
      </c>
      <c r="G296" s="10">
        <v>0.96</v>
      </c>
      <c r="H296" s="10">
        <v>1.46</v>
      </c>
      <c r="I296" s="10"/>
      <c r="J296" s="10"/>
      <c r="K296" s="10"/>
    </row>
    <row r="297" spans="1:15" x14ac:dyDescent="0.2">
      <c r="A297">
        <v>2025</v>
      </c>
      <c r="B297" s="8" t="s">
        <v>310</v>
      </c>
      <c r="C297" s="8" t="s">
        <v>311</v>
      </c>
      <c r="D297" s="10">
        <v>3.37</v>
      </c>
      <c r="E297" s="10">
        <v>4.24</v>
      </c>
      <c r="F297" s="10">
        <v>13.3</v>
      </c>
      <c r="G297" s="10">
        <v>0.84</v>
      </c>
      <c r="H297" s="10">
        <v>1.2</v>
      </c>
      <c r="I297" s="10">
        <v>23.96</v>
      </c>
      <c r="J297" s="10">
        <v>9.68</v>
      </c>
      <c r="K297" s="10">
        <v>11.5</v>
      </c>
    </row>
    <row r="298" spans="1:15" x14ac:dyDescent="0.2">
      <c r="A298">
        <v>2026</v>
      </c>
      <c r="B298" s="8" t="s">
        <v>310</v>
      </c>
      <c r="C298" s="8" t="s">
        <v>311</v>
      </c>
      <c r="D298" s="10">
        <v>10.82</v>
      </c>
      <c r="E298" s="10">
        <v>14.76</v>
      </c>
      <c r="F298" s="10">
        <v>8.64</v>
      </c>
      <c r="G298" s="10">
        <v>0.89</v>
      </c>
      <c r="H298" s="10">
        <v>1.23</v>
      </c>
      <c r="I298" s="10">
        <v>8.93</v>
      </c>
      <c r="J298" s="10">
        <v>37.64</v>
      </c>
      <c r="K298" s="10">
        <v>14.94</v>
      </c>
    </row>
    <row r="299" spans="1:15" x14ac:dyDescent="0.2">
      <c r="D299" s="10"/>
      <c r="E299" s="10"/>
      <c r="F299" s="10"/>
      <c r="G299" s="10"/>
      <c r="H299" s="10"/>
    </row>
    <row r="300" spans="1:15" x14ac:dyDescent="0.2">
      <c r="D300" s="10"/>
      <c r="E300" s="10"/>
      <c r="F300" s="10"/>
      <c r="G300" s="10"/>
      <c r="H300" s="10"/>
    </row>
    <row r="301" spans="1:15" x14ac:dyDescent="0.2">
      <c r="D301" s="10"/>
      <c r="E301" s="10"/>
      <c r="F301" s="10"/>
      <c r="G301" s="10"/>
      <c r="H301" s="10"/>
    </row>
    <row r="302" spans="1:15" x14ac:dyDescent="0.2">
      <c r="D302" s="10"/>
      <c r="E302" s="10"/>
      <c r="F302" s="10"/>
      <c r="G302" s="10"/>
      <c r="I302" s="10"/>
      <c r="J302" s="10"/>
      <c r="K302" s="10"/>
      <c r="L302" s="10"/>
    </row>
    <row r="303" spans="1:15" x14ac:dyDescent="0.2">
      <c r="D303" s="10"/>
      <c r="E303" s="10"/>
      <c r="F303" s="10"/>
      <c r="G303" s="10"/>
      <c r="I303" s="10"/>
      <c r="J303" s="10"/>
      <c r="K303" s="10"/>
      <c r="L303" s="10"/>
    </row>
    <row r="304" spans="1:15" x14ac:dyDescent="0.2">
      <c r="D304" s="10"/>
      <c r="E304" s="10"/>
      <c r="F304" s="10"/>
      <c r="G304" s="10"/>
    </row>
    <row r="307" spans="4:7" x14ac:dyDescent="0.2">
      <c r="D307" s="10"/>
      <c r="E307" s="10"/>
      <c r="F307" s="10"/>
      <c r="G307" s="10"/>
    </row>
    <row r="308" spans="4:7" x14ac:dyDescent="0.2">
      <c r="D308" s="10"/>
      <c r="E308" s="10"/>
      <c r="F308" s="10"/>
      <c r="G308" s="10"/>
    </row>
    <row r="309" spans="4:7" x14ac:dyDescent="0.2">
      <c r="D309" s="10"/>
      <c r="E309" s="10"/>
      <c r="F309" s="10"/>
      <c r="G30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farolfi</dc:creator>
  <cp:lastModifiedBy>francesco farolfi</cp:lastModifiedBy>
  <dcterms:created xsi:type="dcterms:W3CDTF">2026-04-26T18:20:36Z</dcterms:created>
  <dcterms:modified xsi:type="dcterms:W3CDTF">2026-10-07T10:22:28Z</dcterms:modified>
</cp:coreProperties>
</file>